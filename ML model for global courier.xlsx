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raj\Downloads\"/>
    </mc:Choice>
  </mc:AlternateContent>
  <xr:revisionPtr revIDLastSave="0" documentId="8_{A4B6A62F-8F0A-45CF-8773-AB4EEE28805D}" xr6:coauthVersionLast="47" xr6:coauthVersionMax="47" xr10:uidLastSave="{00000000-0000-0000-0000-000000000000}"/>
  <bookViews>
    <workbookView xWindow="-108" yWindow="-108" windowWidth="23256" windowHeight="12456" xr2:uid="{E2108A13-5BF8-48C3-886E-D06856B49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5" i="1" l="1"/>
  <c r="N75" i="1" s="1"/>
  <c r="O75" i="1" s="1"/>
  <c r="P75" i="1" s="1"/>
  <c r="M74" i="1"/>
  <c r="N74" i="1" s="1"/>
  <c r="O74" i="1" s="1"/>
  <c r="P74" i="1" s="1"/>
  <c r="N73" i="1"/>
  <c r="O73" i="1" s="1"/>
  <c r="P73" i="1" s="1"/>
  <c r="M73" i="1"/>
  <c r="N72" i="1"/>
  <c r="O72" i="1" s="1"/>
  <c r="P72" i="1" s="1"/>
  <c r="M72" i="1"/>
  <c r="N71" i="1"/>
  <c r="O71" i="1" s="1"/>
  <c r="P71" i="1" s="1"/>
  <c r="M71" i="1"/>
  <c r="N70" i="1"/>
  <c r="O70" i="1" s="1"/>
  <c r="P70" i="1" s="1"/>
  <c r="M70" i="1"/>
  <c r="O69" i="1"/>
  <c r="P69" i="1" s="1"/>
  <c r="N69" i="1"/>
  <c r="M69" i="1"/>
  <c r="O68" i="1"/>
  <c r="P68" i="1" s="1"/>
  <c r="N68" i="1"/>
  <c r="M68" i="1"/>
  <c r="N67" i="1"/>
  <c r="O67" i="1" s="1"/>
  <c r="P67" i="1" s="1"/>
  <c r="M67" i="1"/>
  <c r="N66" i="1"/>
  <c r="O66" i="1" s="1"/>
  <c r="P66" i="1" s="1"/>
  <c r="M66" i="1"/>
  <c r="O65" i="1"/>
  <c r="P65" i="1" s="1"/>
  <c r="N65" i="1"/>
  <c r="M65" i="1"/>
  <c r="O64" i="1"/>
  <c r="P64" i="1" s="1"/>
  <c r="N64" i="1"/>
  <c r="M64" i="1"/>
  <c r="N63" i="1"/>
  <c r="O63" i="1" s="1"/>
  <c r="P63" i="1" s="1"/>
  <c r="M63" i="1"/>
  <c r="N62" i="1"/>
  <c r="O62" i="1" s="1"/>
  <c r="P62" i="1" s="1"/>
  <c r="M62" i="1"/>
  <c r="O61" i="1"/>
  <c r="P61" i="1" s="1"/>
  <c r="N61" i="1"/>
  <c r="M61" i="1"/>
  <c r="O60" i="1"/>
  <c r="P60" i="1" s="1"/>
  <c r="N60" i="1"/>
  <c r="M60" i="1"/>
  <c r="N59" i="1"/>
  <c r="O59" i="1" s="1"/>
  <c r="P59" i="1" s="1"/>
  <c r="M59" i="1"/>
  <c r="N58" i="1"/>
  <c r="O58" i="1" s="1"/>
  <c r="P58" i="1" s="1"/>
  <c r="M58" i="1"/>
  <c r="O57" i="1"/>
  <c r="P57" i="1" s="1"/>
  <c r="N57" i="1"/>
  <c r="M57" i="1"/>
  <c r="O56" i="1"/>
  <c r="P56" i="1" s="1"/>
  <c r="N56" i="1"/>
  <c r="M56" i="1"/>
  <c r="N55" i="1"/>
  <c r="O55" i="1" s="1"/>
  <c r="P55" i="1" s="1"/>
  <c r="M55" i="1"/>
  <c r="N54" i="1"/>
  <c r="O54" i="1" s="1"/>
  <c r="P54" i="1" s="1"/>
  <c r="M54" i="1"/>
  <c r="O53" i="1"/>
  <c r="P53" i="1" s="1"/>
  <c r="N53" i="1"/>
  <c r="M53" i="1"/>
  <c r="O52" i="1"/>
  <c r="P52" i="1" s="1"/>
  <c r="N52" i="1"/>
  <c r="M52" i="1"/>
  <c r="N51" i="1"/>
  <c r="O51" i="1" s="1"/>
  <c r="P51" i="1" s="1"/>
  <c r="M51" i="1"/>
  <c r="N50" i="1"/>
  <c r="O50" i="1" s="1"/>
  <c r="P50" i="1" s="1"/>
  <c r="M50" i="1"/>
  <c r="O49" i="1"/>
  <c r="P49" i="1" s="1"/>
  <c r="N49" i="1"/>
  <c r="M49" i="1"/>
  <c r="O48" i="1"/>
  <c r="P48" i="1" s="1"/>
  <c r="N48" i="1"/>
  <c r="M48" i="1"/>
  <c r="N47" i="1"/>
  <c r="O47" i="1" s="1"/>
  <c r="P47" i="1" s="1"/>
  <c r="M47" i="1"/>
  <c r="N46" i="1"/>
  <c r="O46" i="1" s="1"/>
  <c r="P46" i="1" s="1"/>
  <c r="M46" i="1"/>
  <c r="O45" i="1"/>
  <c r="P45" i="1" s="1"/>
  <c r="N45" i="1"/>
  <c r="M45" i="1"/>
  <c r="O44" i="1"/>
  <c r="P44" i="1" s="1"/>
  <c r="N44" i="1"/>
  <c r="M44" i="1"/>
  <c r="N43" i="1"/>
  <c r="O43" i="1" s="1"/>
  <c r="P43" i="1" s="1"/>
  <c r="M43" i="1"/>
  <c r="N42" i="1"/>
  <c r="O42" i="1" s="1"/>
  <c r="P42" i="1" s="1"/>
  <c r="M42" i="1"/>
  <c r="O41" i="1"/>
  <c r="P41" i="1" s="1"/>
  <c r="N41" i="1"/>
  <c r="M41" i="1"/>
  <c r="O40" i="1"/>
  <c r="P40" i="1" s="1"/>
  <c r="N40" i="1"/>
  <c r="M40" i="1"/>
  <c r="N39" i="1"/>
  <c r="O39" i="1" s="1"/>
  <c r="P39" i="1" s="1"/>
  <c r="M39" i="1"/>
  <c r="N38" i="1"/>
  <c r="O38" i="1" s="1"/>
  <c r="P38" i="1" s="1"/>
  <c r="M38" i="1"/>
  <c r="O37" i="1"/>
  <c r="P37" i="1" s="1"/>
  <c r="N37" i="1"/>
  <c r="M37" i="1"/>
  <c r="O36" i="1"/>
  <c r="P36" i="1" s="1"/>
  <c r="N36" i="1"/>
  <c r="M36" i="1"/>
  <c r="N35" i="1"/>
  <c r="O35" i="1" s="1"/>
  <c r="P35" i="1" s="1"/>
  <c r="M35" i="1"/>
  <c r="N34" i="1"/>
  <c r="O34" i="1" s="1"/>
  <c r="P34" i="1" s="1"/>
  <c r="M34" i="1"/>
  <c r="O33" i="1"/>
  <c r="P33" i="1" s="1"/>
  <c r="N33" i="1"/>
  <c r="M33" i="1"/>
  <c r="O32" i="1"/>
  <c r="P32" i="1" s="1"/>
  <c r="N32" i="1"/>
  <c r="M32" i="1"/>
  <c r="N31" i="1"/>
  <c r="O31" i="1" s="1"/>
  <c r="P31" i="1" s="1"/>
  <c r="M31" i="1"/>
  <c r="N30" i="1"/>
  <c r="O30" i="1" s="1"/>
  <c r="P30" i="1" s="1"/>
  <c r="M30" i="1"/>
  <c r="O29" i="1"/>
  <c r="P29" i="1" s="1"/>
  <c r="N29" i="1"/>
  <c r="M29" i="1"/>
  <c r="O28" i="1"/>
  <c r="P28" i="1" s="1"/>
  <c r="N28" i="1"/>
  <c r="M28" i="1"/>
  <c r="N27" i="1"/>
  <c r="O27" i="1" s="1"/>
  <c r="P27" i="1" s="1"/>
  <c r="M27" i="1"/>
  <c r="N26" i="1"/>
  <c r="O26" i="1" s="1"/>
  <c r="P26" i="1" s="1"/>
  <c r="M26" i="1"/>
  <c r="O25" i="1"/>
  <c r="P25" i="1" s="1"/>
  <c r="N25" i="1"/>
  <c r="M25" i="1"/>
  <c r="O24" i="1"/>
  <c r="P24" i="1" s="1"/>
  <c r="N24" i="1"/>
  <c r="M24" i="1"/>
  <c r="N23" i="1"/>
  <c r="O23" i="1" s="1"/>
  <c r="P23" i="1" s="1"/>
  <c r="M23" i="1"/>
  <c r="N22" i="1"/>
  <c r="O22" i="1" s="1"/>
  <c r="P22" i="1" s="1"/>
  <c r="M22" i="1"/>
  <c r="O21" i="1"/>
  <c r="P21" i="1" s="1"/>
  <c r="N21" i="1"/>
  <c r="M21" i="1"/>
  <c r="O20" i="1"/>
  <c r="P20" i="1" s="1"/>
  <c r="N20" i="1"/>
  <c r="M20" i="1"/>
  <c r="N19" i="1"/>
  <c r="O19" i="1" s="1"/>
  <c r="P19" i="1" s="1"/>
  <c r="M19" i="1"/>
  <c r="N18" i="1"/>
  <c r="O18" i="1" s="1"/>
  <c r="P18" i="1" s="1"/>
  <c r="M18" i="1"/>
  <c r="O17" i="1"/>
  <c r="P17" i="1" s="1"/>
  <c r="N17" i="1"/>
  <c r="M17" i="1"/>
  <c r="O16" i="1"/>
  <c r="P16" i="1" s="1"/>
  <c r="N16" i="1"/>
  <c r="M16" i="1"/>
  <c r="N15" i="1"/>
  <c r="O15" i="1" s="1"/>
  <c r="P15" i="1" s="1"/>
  <c r="M15" i="1"/>
  <c r="N14" i="1"/>
  <c r="O14" i="1" s="1"/>
  <c r="P14" i="1" s="1"/>
  <c r="M14" i="1"/>
  <c r="O13" i="1"/>
  <c r="P13" i="1" s="1"/>
  <c r="N13" i="1"/>
  <c r="M13" i="1"/>
  <c r="O12" i="1"/>
  <c r="P12" i="1" s="1"/>
  <c r="N12" i="1"/>
  <c r="M12" i="1"/>
  <c r="N11" i="1"/>
  <c r="O11" i="1" s="1"/>
  <c r="P11" i="1" s="1"/>
  <c r="M11" i="1"/>
  <c r="N10" i="1"/>
  <c r="O10" i="1" s="1"/>
  <c r="P10" i="1" s="1"/>
  <c r="M10" i="1"/>
  <c r="O9" i="1"/>
  <c r="P9" i="1" s="1"/>
  <c r="N9" i="1"/>
  <c r="M9" i="1"/>
  <c r="O8" i="1"/>
  <c r="P8" i="1" s="1"/>
  <c r="N8" i="1"/>
  <c r="M8" i="1"/>
  <c r="N7" i="1"/>
  <c r="O7" i="1" s="1"/>
  <c r="P7" i="1" s="1"/>
  <c r="M7" i="1"/>
  <c r="N6" i="1"/>
  <c r="O6" i="1" s="1"/>
  <c r="P6" i="1" s="1"/>
  <c r="M6" i="1"/>
  <c r="O5" i="1"/>
  <c r="P5" i="1" s="1"/>
  <c r="N5" i="1"/>
  <c r="M5" i="1"/>
  <c r="O4" i="1"/>
  <c r="P4" i="1" s="1"/>
  <c r="N4" i="1"/>
  <c r="M4" i="1"/>
  <c r="N3" i="1"/>
  <c r="O3" i="1" s="1"/>
  <c r="P3" i="1" s="1"/>
  <c r="M3" i="1"/>
  <c r="N2" i="1"/>
  <c r="O2" i="1" s="1"/>
  <c r="P2" i="1" s="1"/>
  <c r="M2" i="1"/>
</calcChain>
</file>

<file path=xl/sharedStrings.xml><?xml version="1.0" encoding="utf-8"?>
<sst xmlns="http://schemas.openxmlformats.org/spreadsheetml/2006/main" count="238" uniqueCount="55">
  <si>
    <t>SR.NO</t>
  </si>
  <si>
    <t>DATE</t>
  </si>
  <si>
    <t>AWB NO.</t>
  </si>
  <si>
    <t>DESTINATION</t>
  </si>
  <si>
    <t>From Pincode</t>
  </si>
  <si>
    <t>To Pincode</t>
  </si>
  <si>
    <t>INV</t>
  </si>
  <si>
    <t>VALU</t>
  </si>
  <si>
    <t>PIC</t>
  </si>
  <si>
    <t>WEIGHT</t>
  </si>
  <si>
    <t>MODE</t>
  </si>
  <si>
    <t>AMOUNT</t>
  </si>
  <si>
    <t>10 % FSC</t>
  </si>
  <si>
    <t>Total Without GST</t>
  </si>
  <si>
    <t>GST</t>
  </si>
  <si>
    <t>Subtotal</t>
  </si>
  <si>
    <t>02-01-2026</t>
  </si>
  <si>
    <t>Pune</t>
  </si>
  <si>
    <t>SFC</t>
  </si>
  <si>
    <t>Dakshina</t>
  </si>
  <si>
    <t>Malappuram</t>
  </si>
  <si>
    <t>ODA</t>
  </si>
  <si>
    <t>Kothamangalam</t>
  </si>
  <si>
    <t>PUNE</t>
  </si>
  <si>
    <t>02-11-2026</t>
  </si>
  <si>
    <t>Bangalore</t>
  </si>
  <si>
    <t>pune</t>
  </si>
  <si>
    <t>Noida</t>
  </si>
  <si>
    <t>03-01-2026</t>
  </si>
  <si>
    <t>Pollachi</t>
  </si>
  <si>
    <t>Lucknow</t>
  </si>
  <si>
    <t>Chennai</t>
  </si>
  <si>
    <t>Makkaraparamba</t>
  </si>
  <si>
    <t>Mahasamund</t>
  </si>
  <si>
    <t>Indore</t>
  </si>
  <si>
    <t>Barnala</t>
  </si>
  <si>
    <t>05-01-2026</t>
  </si>
  <si>
    <t>Tirunelveli</t>
  </si>
  <si>
    <t>06-01-2026</t>
  </si>
  <si>
    <t>Lucknow PUNE</t>
  </si>
  <si>
    <t>Mysuru</t>
  </si>
  <si>
    <t>Haldwani</t>
  </si>
  <si>
    <t>Karunagappally</t>
  </si>
  <si>
    <t>Salem</t>
  </si>
  <si>
    <t>Kannur</t>
  </si>
  <si>
    <t>07-01-2026</t>
  </si>
  <si>
    <t>Hunsur</t>
  </si>
  <si>
    <t>Baner</t>
  </si>
  <si>
    <t>Cochin</t>
  </si>
  <si>
    <t>Vrindavan</t>
  </si>
  <si>
    <t>Srinagar J &amp; K</t>
  </si>
  <si>
    <t>08-01-2026</t>
  </si>
  <si>
    <t>Alappuzha</t>
  </si>
  <si>
    <t>Sivagangai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</si>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</sst>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E986-5FC8-4DF6-BD5B-1FC6828C4531}">
  <dimension ref="A1:P75"/>
  <sheetViews>
    <sheetView tabSelected="1" workbookViewId="0">
      <selection activeCell="F5" sqref="F5"/>
    </sheetView>
  </sheetViews>
  <sheetFormatPr defaultRowHeight="14.4" x14ac:dyDescent="0.3"/>
  <cols>
    <col min="1" max="1" width="6.21875" bestFit="1" customWidth="1"/>
    <col min="2" max="2" width="10.33203125" bestFit="1" customWidth="1"/>
    <col min="3" max="3" width="15.109375" bestFit="1" customWidth="1"/>
    <col min="4" max="4" width="15.44140625" bestFit="1" customWidth="1"/>
    <col min="5" max="5" width="12.109375" bestFit="1" customWidth="1"/>
    <col min="6" max="6" width="10" bestFit="1" customWidth="1"/>
    <col min="7" max="7" width="5" bestFit="1" customWidth="1"/>
    <col min="8" max="8" width="6" bestFit="1" customWidth="1"/>
    <col min="9" max="9" width="3.6640625" bestFit="1" customWidth="1"/>
    <col min="10" max="10" width="7.77734375" bestFit="1" customWidth="1"/>
    <col min="11" max="11" width="6.21875" bestFit="1" customWidth="1"/>
    <col min="12" max="12" width="8.77734375" bestFit="1" customWidth="1"/>
    <col min="13" max="13" width="8.21875" bestFit="1" customWidth="1"/>
    <col min="14" max="14" width="16" bestFit="1" customWidth="1"/>
    <col min="15" max="15" width="8" bestFit="1" customWidth="1"/>
    <col min="16" max="16" width="9" bestFit="1" customWidth="1"/>
  </cols>
  <sheetData>
    <row r="1" spans="1:1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s="1">
        <v>295013618</v>
      </c>
      <c r="D2" t="s">
        <v>17</v>
      </c>
      <c r="E2">
        <v>110020</v>
      </c>
      <c r="F2">
        <v>411045</v>
      </c>
      <c r="G2">
        <v>4402</v>
      </c>
      <c r="H2">
        <v>1000</v>
      </c>
      <c r="I2">
        <v>1</v>
      </c>
      <c r="J2">
        <v>110</v>
      </c>
      <c r="K2" t="s">
        <v>18</v>
      </c>
      <c r="L2">
        <v>1430</v>
      </c>
      <c r="M2">
        <f>L2*10%</f>
        <v>143</v>
      </c>
      <c r="N2">
        <f>M2+L2</f>
        <v>1573</v>
      </c>
      <c r="O2">
        <f>N2*18%</f>
        <v>283.14</v>
      </c>
      <c r="P2">
        <f>O2+N2</f>
        <v>1856.1399999999999</v>
      </c>
    </row>
    <row r="3" spans="1:16" x14ac:dyDescent="0.3">
      <c r="A3">
        <v>2</v>
      </c>
      <c r="B3" t="s">
        <v>16</v>
      </c>
      <c r="C3" s="1">
        <v>13090321381672</v>
      </c>
      <c r="D3" t="s">
        <v>19</v>
      </c>
      <c r="E3">
        <v>560060</v>
      </c>
      <c r="F3">
        <v>574201</v>
      </c>
      <c r="G3">
        <v>4403</v>
      </c>
      <c r="H3">
        <v>10000</v>
      </c>
      <c r="I3">
        <v>1</v>
      </c>
      <c r="J3">
        <v>7</v>
      </c>
      <c r="K3" t="s">
        <v>18</v>
      </c>
      <c r="L3">
        <v>450</v>
      </c>
      <c r="M3">
        <f t="shared" ref="M3:M66" si="0">L3*10%</f>
        <v>45</v>
      </c>
      <c r="N3">
        <f t="shared" ref="N3:N66" si="1">M3+L3</f>
        <v>495</v>
      </c>
      <c r="O3">
        <f t="shared" ref="O3:O66" si="2">N3*18%</f>
        <v>89.1</v>
      </c>
      <c r="P3">
        <f t="shared" ref="P3:P66" si="3">O3+N3</f>
        <v>584.1</v>
      </c>
    </row>
    <row r="4" spans="1:16" x14ac:dyDescent="0.3">
      <c r="A4">
        <v>3</v>
      </c>
      <c r="B4" t="s">
        <v>16</v>
      </c>
      <c r="C4" s="1">
        <v>13090321382081</v>
      </c>
      <c r="D4" t="s">
        <v>20</v>
      </c>
      <c r="E4">
        <v>560060</v>
      </c>
      <c r="F4">
        <v>679576</v>
      </c>
      <c r="G4">
        <v>4404</v>
      </c>
      <c r="H4">
        <v>10000</v>
      </c>
      <c r="I4">
        <v>1</v>
      </c>
      <c r="J4">
        <v>7</v>
      </c>
      <c r="K4" t="s">
        <v>21</v>
      </c>
      <c r="L4">
        <v>1050</v>
      </c>
      <c r="M4">
        <f t="shared" si="0"/>
        <v>105</v>
      </c>
      <c r="N4">
        <f t="shared" si="1"/>
        <v>1155</v>
      </c>
      <c r="O4">
        <f t="shared" si="2"/>
        <v>207.9</v>
      </c>
      <c r="P4">
        <f t="shared" si="3"/>
        <v>1362.9</v>
      </c>
    </row>
    <row r="5" spans="1:16" x14ac:dyDescent="0.3">
      <c r="A5">
        <v>4</v>
      </c>
      <c r="B5" t="s">
        <v>16</v>
      </c>
      <c r="C5" s="1">
        <v>13090321382405</v>
      </c>
      <c r="D5" t="s">
        <v>20</v>
      </c>
      <c r="E5">
        <v>560060</v>
      </c>
      <c r="F5">
        <v>676122</v>
      </c>
      <c r="G5">
        <v>4405</v>
      </c>
      <c r="H5">
        <v>10000</v>
      </c>
      <c r="I5">
        <v>1</v>
      </c>
      <c r="J5">
        <v>11</v>
      </c>
      <c r="K5" t="s">
        <v>21</v>
      </c>
      <c r="L5">
        <v>1050</v>
      </c>
      <c r="M5">
        <f t="shared" si="0"/>
        <v>105</v>
      </c>
      <c r="N5">
        <f t="shared" si="1"/>
        <v>1155</v>
      </c>
      <c r="O5">
        <f t="shared" si="2"/>
        <v>207.9</v>
      </c>
      <c r="P5">
        <f t="shared" si="3"/>
        <v>1362.9</v>
      </c>
    </row>
    <row r="6" spans="1:16" x14ac:dyDescent="0.3">
      <c r="A6">
        <v>5</v>
      </c>
      <c r="B6" t="s">
        <v>16</v>
      </c>
      <c r="C6" s="1">
        <v>13090321382685</v>
      </c>
      <c r="D6" t="s">
        <v>22</v>
      </c>
      <c r="E6">
        <v>560060</v>
      </c>
      <c r="F6">
        <v>686691</v>
      </c>
      <c r="G6">
        <v>4406</v>
      </c>
      <c r="H6">
        <v>10000</v>
      </c>
      <c r="I6">
        <v>1</v>
      </c>
      <c r="J6">
        <v>11</v>
      </c>
      <c r="K6" t="s">
        <v>18</v>
      </c>
      <c r="L6">
        <v>450</v>
      </c>
      <c r="M6">
        <f t="shared" si="0"/>
        <v>45</v>
      </c>
      <c r="N6">
        <f t="shared" si="1"/>
        <v>495</v>
      </c>
      <c r="O6">
        <f t="shared" si="2"/>
        <v>89.1</v>
      </c>
      <c r="P6">
        <f t="shared" si="3"/>
        <v>584.1</v>
      </c>
    </row>
    <row r="7" spans="1:16" x14ac:dyDescent="0.3">
      <c r="A7">
        <v>6</v>
      </c>
      <c r="B7" t="s">
        <v>16</v>
      </c>
      <c r="C7" s="1">
        <v>295028160</v>
      </c>
      <c r="D7" t="s">
        <v>23</v>
      </c>
      <c r="E7">
        <v>493445</v>
      </c>
      <c r="F7">
        <v>411045</v>
      </c>
      <c r="G7">
        <v>4411</v>
      </c>
      <c r="H7">
        <v>30000</v>
      </c>
      <c r="I7">
        <v>3</v>
      </c>
      <c r="J7">
        <v>290</v>
      </c>
      <c r="K7" t="s">
        <v>18</v>
      </c>
      <c r="L7">
        <v>3770</v>
      </c>
      <c r="M7">
        <f t="shared" si="0"/>
        <v>377</v>
      </c>
      <c r="N7">
        <f t="shared" si="1"/>
        <v>4147</v>
      </c>
      <c r="O7">
        <f t="shared" si="2"/>
        <v>746.45999999999992</v>
      </c>
      <c r="P7">
        <f t="shared" si="3"/>
        <v>4893.46</v>
      </c>
    </row>
    <row r="8" spans="1:16" x14ac:dyDescent="0.3">
      <c r="A8">
        <v>7</v>
      </c>
      <c r="B8" t="s">
        <v>24</v>
      </c>
      <c r="C8" s="1">
        <v>295050119</v>
      </c>
      <c r="D8" t="s">
        <v>25</v>
      </c>
      <c r="E8">
        <v>682024</v>
      </c>
      <c r="F8">
        <v>560060</v>
      </c>
      <c r="G8">
        <v>4407</v>
      </c>
      <c r="H8">
        <v>10000</v>
      </c>
      <c r="I8">
        <v>1</v>
      </c>
      <c r="J8">
        <v>14</v>
      </c>
      <c r="K8" t="s">
        <v>18</v>
      </c>
      <c r="L8">
        <v>450</v>
      </c>
      <c r="M8">
        <f t="shared" si="0"/>
        <v>45</v>
      </c>
      <c r="N8">
        <f t="shared" si="1"/>
        <v>495</v>
      </c>
      <c r="O8">
        <f t="shared" si="2"/>
        <v>89.1</v>
      </c>
      <c r="P8">
        <f t="shared" si="3"/>
        <v>584.1</v>
      </c>
    </row>
    <row r="9" spans="1:16" x14ac:dyDescent="0.3">
      <c r="A9">
        <v>8</v>
      </c>
      <c r="B9" t="s">
        <v>16</v>
      </c>
      <c r="C9" s="1">
        <v>13090321395915</v>
      </c>
      <c r="D9" t="s">
        <v>26</v>
      </c>
      <c r="E9">
        <v>148101</v>
      </c>
      <c r="F9">
        <v>411045</v>
      </c>
      <c r="G9">
        <v>4409</v>
      </c>
      <c r="H9">
        <v>10000</v>
      </c>
      <c r="I9">
        <v>1</v>
      </c>
      <c r="J9">
        <v>14</v>
      </c>
      <c r="K9" t="s">
        <v>18</v>
      </c>
      <c r="L9">
        <v>450</v>
      </c>
      <c r="M9">
        <f t="shared" si="0"/>
        <v>45</v>
      </c>
      <c r="N9">
        <f t="shared" si="1"/>
        <v>495</v>
      </c>
      <c r="O9">
        <f t="shared" si="2"/>
        <v>89.1</v>
      </c>
      <c r="P9">
        <f t="shared" si="3"/>
        <v>584.1</v>
      </c>
    </row>
    <row r="10" spans="1:16" x14ac:dyDescent="0.3">
      <c r="A10">
        <v>9</v>
      </c>
      <c r="B10" t="s">
        <v>16</v>
      </c>
      <c r="C10" s="1">
        <v>13090321396383</v>
      </c>
      <c r="D10" t="s">
        <v>27</v>
      </c>
      <c r="E10">
        <v>221112</v>
      </c>
      <c r="F10">
        <v>201305</v>
      </c>
      <c r="G10">
        <v>4408</v>
      </c>
      <c r="H10">
        <v>10000</v>
      </c>
      <c r="I10">
        <v>1</v>
      </c>
      <c r="J10">
        <v>18</v>
      </c>
      <c r="K10" t="s">
        <v>18</v>
      </c>
      <c r="L10">
        <v>450</v>
      </c>
      <c r="M10">
        <f t="shared" si="0"/>
        <v>45</v>
      </c>
      <c r="N10">
        <f t="shared" si="1"/>
        <v>495</v>
      </c>
      <c r="O10">
        <f t="shared" si="2"/>
        <v>89.1</v>
      </c>
      <c r="P10">
        <f t="shared" si="3"/>
        <v>584.1</v>
      </c>
    </row>
    <row r="11" spans="1:16" x14ac:dyDescent="0.3">
      <c r="A11">
        <v>10</v>
      </c>
      <c r="B11" t="s">
        <v>16</v>
      </c>
      <c r="C11" s="1">
        <v>295068585</v>
      </c>
      <c r="D11" t="s">
        <v>25</v>
      </c>
      <c r="E11">
        <v>688001</v>
      </c>
      <c r="F11">
        <v>560060</v>
      </c>
      <c r="G11">
        <v>4410</v>
      </c>
      <c r="H11">
        <v>10000</v>
      </c>
      <c r="I11">
        <v>1</v>
      </c>
      <c r="J11">
        <v>11</v>
      </c>
      <c r="K11" t="s">
        <v>18</v>
      </c>
      <c r="L11">
        <v>450</v>
      </c>
      <c r="M11">
        <f t="shared" si="0"/>
        <v>45</v>
      </c>
      <c r="N11">
        <f t="shared" si="1"/>
        <v>495</v>
      </c>
      <c r="O11">
        <f t="shared" si="2"/>
        <v>89.1</v>
      </c>
      <c r="P11">
        <f t="shared" si="3"/>
        <v>584.1</v>
      </c>
    </row>
    <row r="12" spans="1:16" x14ac:dyDescent="0.3">
      <c r="A12">
        <v>11</v>
      </c>
      <c r="B12" t="s">
        <v>16</v>
      </c>
      <c r="C12" s="1">
        <v>295052929</v>
      </c>
      <c r="D12" t="s">
        <v>25</v>
      </c>
      <c r="E12">
        <v>571105</v>
      </c>
      <c r="F12">
        <v>560060</v>
      </c>
      <c r="G12">
        <v>4412</v>
      </c>
      <c r="H12">
        <v>10000</v>
      </c>
      <c r="I12">
        <v>2</v>
      </c>
      <c r="J12">
        <v>46</v>
      </c>
      <c r="K12" t="s">
        <v>18</v>
      </c>
      <c r="L12">
        <v>598</v>
      </c>
      <c r="M12">
        <f t="shared" si="0"/>
        <v>59.800000000000004</v>
      </c>
      <c r="N12">
        <f t="shared" si="1"/>
        <v>657.8</v>
      </c>
      <c r="O12">
        <f t="shared" si="2"/>
        <v>118.40399999999998</v>
      </c>
      <c r="P12">
        <f t="shared" si="3"/>
        <v>776.20399999999995</v>
      </c>
    </row>
    <row r="13" spans="1:16" x14ac:dyDescent="0.3">
      <c r="A13">
        <v>12</v>
      </c>
      <c r="B13" t="s">
        <v>28</v>
      </c>
      <c r="C13" s="1">
        <v>295055139</v>
      </c>
      <c r="D13" t="s">
        <v>29</v>
      </c>
      <c r="E13">
        <v>560060</v>
      </c>
      <c r="F13">
        <v>642001</v>
      </c>
      <c r="G13">
        <v>4413</v>
      </c>
      <c r="H13">
        <v>10000</v>
      </c>
      <c r="I13">
        <v>1</v>
      </c>
      <c r="J13">
        <v>70</v>
      </c>
      <c r="K13" t="s">
        <v>18</v>
      </c>
      <c r="L13">
        <v>980</v>
      </c>
      <c r="M13">
        <f t="shared" si="0"/>
        <v>98</v>
      </c>
      <c r="N13">
        <f t="shared" si="1"/>
        <v>1078</v>
      </c>
      <c r="O13">
        <f t="shared" si="2"/>
        <v>194.04</v>
      </c>
      <c r="P13">
        <f t="shared" si="3"/>
        <v>1272.04</v>
      </c>
    </row>
    <row r="14" spans="1:16" x14ac:dyDescent="0.3">
      <c r="A14">
        <v>13</v>
      </c>
      <c r="B14" t="s">
        <v>28</v>
      </c>
      <c r="C14" s="1">
        <v>295059769</v>
      </c>
      <c r="D14" t="s">
        <v>30</v>
      </c>
      <c r="E14">
        <v>411045</v>
      </c>
      <c r="F14">
        <v>226021</v>
      </c>
      <c r="G14">
        <v>4414</v>
      </c>
      <c r="H14">
        <v>10000</v>
      </c>
      <c r="I14">
        <v>1</v>
      </c>
      <c r="J14">
        <v>132</v>
      </c>
      <c r="K14" t="s">
        <v>18</v>
      </c>
      <c r="L14">
        <v>1716</v>
      </c>
      <c r="M14">
        <f t="shared" si="0"/>
        <v>171.60000000000002</v>
      </c>
      <c r="N14">
        <f t="shared" si="1"/>
        <v>1887.6</v>
      </c>
      <c r="O14">
        <f t="shared" si="2"/>
        <v>339.76799999999997</v>
      </c>
      <c r="P14">
        <f t="shared" si="3"/>
        <v>2227.3679999999999</v>
      </c>
    </row>
    <row r="15" spans="1:16" x14ac:dyDescent="0.3">
      <c r="A15">
        <v>14</v>
      </c>
      <c r="B15" t="s">
        <v>28</v>
      </c>
      <c r="C15" s="1">
        <v>295060621</v>
      </c>
      <c r="D15" t="s">
        <v>25</v>
      </c>
      <c r="E15">
        <v>679576</v>
      </c>
      <c r="F15">
        <v>560060</v>
      </c>
      <c r="G15">
        <v>4415</v>
      </c>
      <c r="H15">
        <v>10000</v>
      </c>
      <c r="I15">
        <v>1</v>
      </c>
      <c r="J15">
        <v>20</v>
      </c>
      <c r="K15" t="s">
        <v>18</v>
      </c>
      <c r="L15">
        <v>450</v>
      </c>
      <c r="M15">
        <f t="shared" si="0"/>
        <v>45</v>
      </c>
      <c r="N15">
        <f t="shared" si="1"/>
        <v>495</v>
      </c>
      <c r="O15">
        <f t="shared" si="2"/>
        <v>89.1</v>
      </c>
      <c r="P15">
        <f t="shared" si="3"/>
        <v>584.1</v>
      </c>
    </row>
    <row r="16" spans="1:16" x14ac:dyDescent="0.3">
      <c r="A16">
        <v>15</v>
      </c>
      <c r="B16" t="s">
        <v>28</v>
      </c>
      <c r="C16" s="1">
        <v>13090321402436</v>
      </c>
      <c r="D16" t="s">
        <v>31</v>
      </c>
      <c r="E16">
        <v>607001</v>
      </c>
      <c r="F16">
        <v>600095</v>
      </c>
      <c r="G16">
        <v>4416</v>
      </c>
      <c r="H16">
        <v>10000</v>
      </c>
      <c r="I16">
        <v>1</v>
      </c>
      <c r="J16">
        <v>20</v>
      </c>
      <c r="K16" t="s">
        <v>18</v>
      </c>
      <c r="L16">
        <v>450</v>
      </c>
      <c r="M16">
        <f t="shared" si="0"/>
        <v>45</v>
      </c>
      <c r="N16">
        <f t="shared" si="1"/>
        <v>495</v>
      </c>
      <c r="O16">
        <f t="shared" si="2"/>
        <v>89.1</v>
      </c>
      <c r="P16">
        <f t="shared" si="3"/>
        <v>584.1</v>
      </c>
    </row>
    <row r="17" spans="1:16" x14ac:dyDescent="0.3">
      <c r="A17">
        <v>16</v>
      </c>
      <c r="B17" t="s">
        <v>28</v>
      </c>
      <c r="C17" s="1">
        <v>13090321403663</v>
      </c>
      <c r="D17" t="s">
        <v>25</v>
      </c>
      <c r="E17">
        <v>575003</v>
      </c>
      <c r="F17">
        <v>560060</v>
      </c>
      <c r="G17">
        <v>4418</v>
      </c>
      <c r="H17">
        <v>10000</v>
      </c>
      <c r="I17">
        <v>1</v>
      </c>
      <c r="J17">
        <v>11</v>
      </c>
      <c r="K17" t="s">
        <v>18</v>
      </c>
      <c r="L17">
        <v>450</v>
      </c>
      <c r="M17">
        <f t="shared" si="0"/>
        <v>45</v>
      </c>
      <c r="N17">
        <f t="shared" si="1"/>
        <v>495</v>
      </c>
      <c r="O17">
        <f t="shared" si="2"/>
        <v>89.1</v>
      </c>
      <c r="P17">
        <f t="shared" si="3"/>
        <v>584.1</v>
      </c>
    </row>
    <row r="18" spans="1:16" x14ac:dyDescent="0.3">
      <c r="A18">
        <v>17</v>
      </c>
      <c r="B18" t="s">
        <v>28</v>
      </c>
      <c r="C18" s="1">
        <v>13090321404013</v>
      </c>
      <c r="D18" t="s">
        <v>32</v>
      </c>
      <c r="E18">
        <v>560060</v>
      </c>
      <c r="F18">
        <v>676507</v>
      </c>
      <c r="G18">
        <v>4419</v>
      </c>
      <c r="H18">
        <v>10000</v>
      </c>
      <c r="I18">
        <v>1</v>
      </c>
      <c r="J18">
        <v>11</v>
      </c>
      <c r="K18" t="s">
        <v>21</v>
      </c>
      <c r="L18">
        <v>1050</v>
      </c>
      <c r="M18">
        <f t="shared" si="0"/>
        <v>105</v>
      </c>
      <c r="N18">
        <f t="shared" si="1"/>
        <v>1155</v>
      </c>
      <c r="O18">
        <f t="shared" si="2"/>
        <v>207.9</v>
      </c>
      <c r="P18">
        <f t="shared" si="3"/>
        <v>1362.9</v>
      </c>
    </row>
    <row r="19" spans="1:16" x14ac:dyDescent="0.3">
      <c r="A19">
        <v>18</v>
      </c>
      <c r="B19" t="s">
        <v>28</v>
      </c>
      <c r="C19" s="1">
        <v>13090321404514</v>
      </c>
      <c r="D19" t="s">
        <v>27</v>
      </c>
      <c r="E19">
        <v>276208</v>
      </c>
      <c r="F19">
        <v>201305</v>
      </c>
      <c r="G19">
        <v>4420</v>
      </c>
      <c r="H19">
        <v>10000</v>
      </c>
      <c r="I19">
        <v>1</v>
      </c>
      <c r="J19">
        <v>11</v>
      </c>
      <c r="K19" t="s">
        <v>18</v>
      </c>
      <c r="L19">
        <v>450</v>
      </c>
      <c r="M19">
        <f t="shared" si="0"/>
        <v>45</v>
      </c>
      <c r="N19">
        <f t="shared" si="1"/>
        <v>495</v>
      </c>
      <c r="O19">
        <f t="shared" si="2"/>
        <v>89.1</v>
      </c>
      <c r="P19">
        <f t="shared" si="3"/>
        <v>584.1</v>
      </c>
    </row>
    <row r="20" spans="1:16" x14ac:dyDescent="0.3">
      <c r="A20">
        <v>19</v>
      </c>
      <c r="B20" t="s">
        <v>28</v>
      </c>
      <c r="C20" s="1">
        <v>13090321404735</v>
      </c>
      <c r="D20" t="s">
        <v>25</v>
      </c>
      <c r="E20">
        <v>560035</v>
      </c>
      <c r="F20">
        <v>560060</v>
      </c>
      <c r="G20">
        <v>4421</v>
      </c>
      <c r="H20">
        <v>10000</v>
      </c>
      <c r="I20">
        <v>1</v>
      </c>
      <c r="J20">
        <v>18</v>
      </c>
      <c r="K20" t="s">
        <v>18</v>
      </c>
      <c r="L20">
        <v>450</v>
      </c>
      <c r="M20">
        <f t="shared" si="0"/>
        <v>45</v>
      </c>
      <c r="N20">
        <f t="shared" si="1"/>
        <v>495</v>
      </c>
      <c r="O20">
        <f t="shared" si="2"/>
        <v>89.1</v>
      </c>
      <c r="P20">
        <f t="shared" si="3"/>
        <v>584.1</v>
      </c>
    </row>
    <row r="21" spans="1:16" x14ac:dyDescent="0.3">
      <c r="A21">
        <v>20</v>
      </c>
      <c r="B21" t="s">
        <v>28</v>
      </c>
      <c r="C21" s="1">
        <v>295067359</v>
      </c>
      <c r="D21" t="s">
        <v>33</v>
      </c>
      <c r="E21">
        <v>411045</v>
      </c>
      <c r="F21">
        <v>493449</v>
      </c>
      <c r="G21">
        <v>4422</v>
      </c>
      <c r="H21">
        <v>10000</v>
      </c>
      <c r="I21">
        <v>1</v>
      </c>
      <c r="J21">
        <v>63</v>
      </c>
      <c r="K21" t="s">
        <v>18</v>
      </c>
      <c r="L21">
        <v>819</v>
      </c>
      <c r="M21">
        <f t="shared" si="0"/>
        <v>81.900000000000006</v>
      </c>
      <c r="N21">
        <f t="shared" si="1"/>
        <v>900.9</v>
      </c>
      <c r="O21">
        <f t="shared" si="2"/>
        <v>162.16199999999998</v>
      </c>
      <c r="P21">
        <f t="shared" si="3"/>
        <v>1063.0619999999999</v>
      </c>
    </row>
    <row r="22" spans="1:16" x14ac:dyDescent="0.3">
      <c r="A22">
        <v>21</v>
      </c>
      <c r="B22" t="s">
        <v>28</v>
      </c>
      <c r="C22" s="1">
        <v>295071753</v>
      </c>
      <c r="D22" t="s">
        <v>34</v>
      </c>
      <c r="E22">
        <v>411045</v>
      </c>
      <c r="F22">
        <v>453331</v>
      </c>
      <c r="G22">
        <v>1404</v>
      </c>
      <c r="H22">
        <v>35500</v>
      </c>
      <c r="I22">
        <v>1</v>
      </c>
      <c r="J22">
        <v>11</v>
      </c>
      <c r="K22" t="s">
        <v>18</v>
      </c>
      <c r="L22">
        <v>450</v>
      </c>
      <c r="M22">
        <f t="shared" si="0"/>
        <v>45</v>
      </c>
      <c r="N22">
        <f t="shared" si="1"/>
        <v>495</v>
      </c>
      <c r="O22">
        <f t="shared" si="2"/>
        <v>89.1</v>
      </c>
      <c r="P22">
        <f t="shared" si="3"/>
        <v>584.1</v>
      </c>
    </row>
    <row r="23" spans="1:16" x14ac:dyDescent="0.3">
      <c r="A23">
        <v>22</v>
      </c>
      <c r="B23" t="s">
        <v>28</v>
      </c>
      <c r="C23" s="1">
        <v>295073819</v>
      </c>
      <c r="D23" t="s">
        <v>35</v>
      </c>
      <c r="E23">
        <v>411045</v>
      </c>
      <c r="F23">
        <v>148101</v>
      </c>
      <c r="G23">
        <v>4424</v>
      </c>
      <c r="H23">
        <v>1000</v>
      </c>
      <c r="I23">
        <v>1</v>
      </c>
      <c r="J23">
        <v>11</v>
      </c>
      <c r="K23" t="s">
        <v>18</v>
      </c>
      <c r="L23">
        <v>450</v>
      </c>
      <c r="M23">
        <f t="shared" si="0"/>
        <v>45</v>
      </c>
      <c r="N23">
        <f t="shared" si="1"/>
        <v>495</v>
      </c>
      <c r="O23">
        <f t="shared" si="2"/>
        <v>89.1</v>
      </c>
      <c r="P23">
        <f t="shared" si="3"/>
        <v>584.1</v>
      </c>
    </row>
    <row r="24" spans="1:16" x14ac:dyDescent="0.3">
      <c r="A24">
        <v>23</v>
      </c>
      <c r="B24" t="s">
        <v>36</v>
      </c>
      <c r="C24" s="1">
        <v>295250019</v>
      </c>
      <c r="D24" t="s">
        <v>26</v>
      </c>
      <c r="E24">
        <v>400604</v>
      </c>
      <c r="F24">
        <v>411045</v>
      </c>
      <c r="G24">
        <v>4425</v>
      </c>
      <c r="H24">
        <v>10000</v>
      </c>
      <c r="I24">
        <v>1</v>
      </c>
      <c r="J24">
        <v>7</v>
      </c>
      <c r="K24" t="s">
        <v>18</v>
      </c>
      <c r="L24">
        <v>450</v>
      </c>
      <c r="M24">
        <f t="shared" si="0"/>
        <v>45</v>
      </c>
      <c r="N24">
        <f t="shared" si="1"/>
        <v>495</v>
      </c>
      <c r="O24">
        <f t="shared" si="2"/>
        <v>89.1</v>
      </c>
      <c r="P24">
        <f t="shared" si="3"/>
        <v>584.1</v>
      </c>
    </row>
    <row r="25" spans="1:16" x14ac:dyDescent="0.3">
      <c r="A25">
        <v>24</v>
      </c>
      <c r="B25" t="s">
        <v>36</v>
      </c>
      <c r="C25" s="1">
        <v>13090321419310</v>
      </c>
      <c r="D25" t="s">
        <v>25</v>
      </c>
      <c r="E25">
        <v>500014</v>
      </c>
      <c r="F25">
        <v>560060</v>
      </c>
      <c r="G25">
        <v>4426</v>
      </c>
      <c r="H25">
        <v>10000</v>
      </c>
      <c r="I25">
        <v>1</v>
      </c>
      <c r="J25">
        <v>15</v>
      </c>
      <c r="K25" t="s">
        <v>18</v>
      </c>
      <c r="L25">
        <v>450</v>
      </c>
      <c r="M25">
        <f t="shared" si="0"/>
        <v>45</v>
      </c>
      <c r="N25">
        <f t="shared" si="1"/>
        <v>495</v>
      </c>
      <c r="O25">
        <f t="shared" si="2"/>
        <v>89.1</v>
      </c>
      <c r="P25">
        <f t="shared" si="3"/>
        <v>584.1</v>
      </c>
    </row>
    <row r="26" spans="1:16" x14ac:dyDescent="0.3">
      <c r="A26">
        <v>25</v>
      </c>
      <c r="B26" t="s">
        <v>36</v>
      </c>
      <c r="C26" s="1">
        <v>295113112</v>
      </c>
      <c r="D26" t="s">
        <v>25</v>
      </c>
      <c r="E26">
        <v>689694</v>
      </c>
      <c r="F26">
        <v>560060</v>
      </c>
      <c r="G26">
        <v>4427</v>
      </c>
      <c r="H26">
        <v>10000</v>
      </c>
      <c r="I26">
        <v>1</v>
      </c>
      <c r="J26">
        <v>20</v>
      </c>
      <c r="K26" t="s">
        <v>18</v>
      </c>
      <c r="L26">
        <v>450</v>
      </c>
      <c r="M26">
        <f t="shared" si="0"/>
        <v>45</v>
      </c>
      <c r="N26">
        <f t="shared" si="1"/>
        <v>495</v>
      </c>
      <c r="O26">
        <f t="shared" si="2"/>
        <v>89.1</v>
      </c>
      <c r="P26">
        <f t="shared" si="3"/>
        <v>584.1</v>
      </c>
    </row>
    <row r="27" spans="1:16" x14ac:dyDescent="0.3">
      <c r="A27">
        <v>26</v>
      </c>
      <c r="B27" t="s">
        <v>36</v>
      </c>
      <c r="C27" s="1">
        <v>295117229</v>
      </c>
      <c r="D27" t="s">
        <v>25</v>
      </c>
      <c r="E27">
        <v>679321</v>
      </c>
      <c r="F27">
        <v>560060</v>
      </c>
      <c r="G27">
        <v>4428</v>
      </c>
      <c r="H27">
        <v>10000</v>
      </c>
      <c r="I27">
        <v>1</v>
      </c>
      <c r="J27">
        <v>46</v>
      </c>
      <c r="K27" t="s">
        <v>18</v>
      </c>
      <c r="L27">
        <v>598</v>
      </c>
      <c r="M27">
        <f t="shared" si="0"/>
        <v>59.800000000000004</v>
      </c>
      <c r="N27">
        <f t="shared" si="1"/>
        <v>657.8</v>
      </c>
      <c r="O27">
        <f t="shared" si="2"/>
        <v>118.40399999999998</v>
      </c>
      <c r="P27">
        <f t="shared" si="3"/>
        <v>776.20399999999995</v>
      </c>
    </row>
    <row r="28" spans="1:16" x14ac:dyDescent="0.3">
      <c r="A28">
        <v>27</v>
      </c>
      <c r="B28" t="s">
        <v>36</v>
      </c>
      <c r="C28" s="1">
        <v>295118506</v>
      </c>
      <c r="D28" t="s">
        <v>25</v>
      </c>
      <c r="E28">
        <v>515002</v>
      </c>
      <c r="F28">
        <v>560060</v>
      </c>
      <c r="G28">
        <v>4429</v>
      </c>
      <c r="H28">
        <v>10000</v>
      </c>
      <c r="I28">
        <v>1</v>
      </c>
      <c r="J28">
        <v>62</v>
      </c>
      <c r="K28" t="s">
        <v>18</v>
      </c>
      <c r="L28">
        <v>806</v>
      </c>
      <c r="M28">
        <f t="shared" si="0"/>
        <v>80.600000000000009</v>
      </c>
      <c r="N28">
        <f t="shared" si="1"/>
        <v>886.6</v>
      </c>
      <c r="O28">
        <f t="shared" si="2"/>
        <v>159.58799999999999</v>
      </c>
      <c r="P28">
        <f t="shared" si="3"/>
        <v>1046.1880000000001</v>
      </c>
    </row>
    <row r="29" spans="1:16" x14ac:dyDescent="0.3">
      <c r="A29">
        <v>28</v>
      </c>
      <c r="B29" t="s">
        <v>36</v>
      </c>
      <c r="C29" s="1">
        <v>295119617</v>
      </c>
      <c r="D29" t="s">
        <v>25</v>
      </c>
      <c r="E29">
        <v>641041</v>
      </c>
      <c r="F29">
        <v>560060</v>
      </c>
      <c r="G29">
        <v>4430</v>
      </c>
      <c r="H29">
        <v>10000</v>
      </c>
      <c r="I29">
        <v>1</v>
      </c>
      <c r="J29">
        <v>53</v>
      </c>
      <c r="K29" t="s">
        <v>18</v>
      </c>
      <c r="L29">
        <v>689</v>
      </c>
      <c r="M29">
        <f t="shared" si="0"/>
        <v>68.900000000000006</v>
      </c>
      <c r="N29">
        <f t="shared" si="1"/>
        <v>757.9</v>
      </c>
      <c r="O29">
        <f t="shared" si="2"/>
        <v>136.422</v>
      </c>
      <c r="P29">
        <f t="shared" si="3"/>
        <v>894.322</v>
      </c>
    </row>
    <row r="30" spans="1:16" x14ac:dyDescent="0.3">
      <c r="A30">
        <v>29</v>
      </c>
      <c r="B30" t="s">
        <v>36</v>
      </c>
      <c r="C30" s="1">
        <v>295119874</v>
      </c>
      <c r="D30" t="s">
        <v>37</v>
      </c>
      <c r="E30">
        <v>600095</v>
      </c>
      <c r="F30">
        <v>627003</v>
      </c>
      <c r="G30">
        <v>4431</v>
      </c>
      <c r="H30">
        <v>10000</v>
      </c>
      <c r="I30">
        <v>1</v>
      </c>
      <c r="J30">
        <v>53</v>
      </c>
      <c r="K30" t="s">
        <v>18</v>
      </c>
      <c r="L30">
        <v>689</v>
      </c>
      <c r="M30">
        <f t="shared" si="0"/>
        <v>68.900000000000006</v>
      </c>
      <c r="N30">
        <f t="shared" si="1"/>
        <v>757.9</v>
      </c>
      <c r="O30">
        <f t="shared" si="2"/>
        <v>136.422</v>
      </c>
      <c r="P30">
        <f t="shared" si="3"/>
        <v>894.322</v>
      </c>
    </row>
    <row r="31" spans="1:16" x14ac:dyDescent="0.3">
      <c r="A31">
        <v>30</v>
      </c>
      <c r="B31" t="s">
        <v>36</v>
      </c>
      <c r="C31" s="1">
        <v>295183886</v>
      </c>
      <c r="D31" t="s">
        <v>31</v>
      </c>
      <c r="E31">
        <v>604001</v>
      </c>
      <c r="F31">
        <v>600095</v>
      </c>
      <c r="G31">
        <v>4432</v>
      </c>
      <c r="H31">
        <v>10000</v>
      </c>
      <c r="I31">
        <v>1</v>
      </c>
      <c r="J31">
        <v>21</v>
      </c>
      <c r="K31" t="s">
        <v>18</v>
      </c>
      <c r="L31">
        <v>450</v>
      </c>
      <c r="M31">
        <f t="shared" si="0"/>
        <v>45</v>
      </c>
      <c r="N31">
        <f t="shared" si="1"/>
        <v>495</v>
      </c>
      <c r="O31">
        <f t="shared" si="2"/>
        <v>89.1</v>
      </c>
      <c r="P31">
        <f t="shared" si="3"/>
        <v>584.1</v>
      </c>
    </row>
    <row r="32" spans="1:16" x14ac:dyDescent="0.3">
      <c r="A32">
        <v>31</v>
      </c>
      <c r="B32" t="s">
        <v>36</v>
      </c>
      <c r="C32" s="1">
        <v>13090321428373</v>
      </c>
      <c r="D32" t="s">
        <v>17</v>
      </c>
      <c r="E32">
        <v>226028</v>
      </c>
      <c r="F32">
        <v>411045</v>
      </c>
      <c r="G32">
        <v>4433</v>
      </c>
      <c r="H32">
        <v>1000</v>
      </c>
      <c r="I32">
        <v>1</v>
      </c>
      <c r="J32">
        <v>14</v>
      </c>
      <c r="K32" t="s">
        <v>18</v>
      </c>
      <c r="L32">
        <v>450</v>
      </c>
      <c r="M32">
        <f t="shared" si="0"/>
        <v>45</v>
      </c>
      <c r="N32">
        <f t="shared" si="1"/>
        <v>495</v>
      </c>
      <c r="O32">
        <f t="shared" si="2"/>
        <v>89.1</v>
      </c>
      <c r="P32">
        <f t="shared" si="3"/>
        <v>584.1</v>
      </c>
    </row>
    <row r="33" spans="1:16" x14ac:dyDescent="0.3">
      <c r="A33">
        <v>32</v>
      </c>
      <c r="B33" t="s">
        <v>36</v>
      </c>
      <c r="C33" s="1">
        <v>295123101</v>
      </c>
      <c r="D33" t="s">
        <v>23</v>
      </c>
      <c r="E33">
        <v>440034</v>
      </c>
      <c r="F33">
        <v>411045</v>
      </c>
      <c r="G33">
        <v>4436</v>
      </c>
      <c r="H33">
        <v>10000</v>
      </c>
      <c r="I33">
        <v>2</v>
      </c>
      <c r="J33">
        <v>40</v>
      </c>
      <c r="K33" t="s">
        <v>18</v>
      </c>
      <c r="L33">
        <v>450</v>
      </c>
      <c r="M33">
        <f t="shared" si="0"/>
        <v>45</v>
      </c>
      <c r="N33">
        <f t="shared" si="1"/>
        <v>495</v>
      </c>
      <c r="O33">
        <f t="shared" si="2"/>
        <v>89.1</v>
      </c>
      <c r="P33">
        <f t="shared" si="3"/>
        <v>584.1</v>
      </c>
    </row>
    <row r="34" spans="1:16" x14ac:dyDescent="0.3">
      <c r="A34">
        <v>33</v>
      </c>
      <c r="B34" t="s">
        <v>38</v>
      </c>
      <c r="C34" s="1">
        <v>295158390</v>
      </c>
      <c r="D34" t="s">
        <v>39</v>
      </c>
      <c r="E34">
        <v>226022</v>
      </c>
      <c r="F34">
        <v>411045</v>
      </c>
      <c r="G34">
        <v>4438</v>
      </c>
      <c r="H34">
        <v>1000</v>
      </c>
      <c r="I34">
        <v>1</v>
      </c>
      <c r="J34">
        <v>20</v>
      </c>
      <c r="K34" t="s">
        <v>18</v>
      </c>
      <c r="L34">
        <v>450</v>
      </c>
      <c r="M34">
        <f t="shared" si="0"/>
        <v>45</v>
      </c>
      <c r="N34">
        <f t="shared" si="1"/>
        <v>495</v>
      </c>
      <c r="O34">
        <f t="shared" si="2"/>
        <v>89.1</v>
      </c>
      <c r="P34">
        <f t="shared" si="3"/>
        <v>584.1</v>
      </c>
    </row>
    <row r="35" spans="1:16" x14ac:dyDescent="0.3">
      <c r="A35">
        <v>34</v>
      </c>
      <c r="B35" t="s">
        <v>38</v>
      </c>
      <c r="C35" s="1">
        <v>295160754</v>
      </c>
      <c r="D35" t="s">
        <v>25</v>
      </c>
      <c r="E35">
        <v>688006</v>
      </c>
      <c r="F35">
        <v>560060</v>
      </c>
      <c r="G35">
        <v>4439</v>
      </c>
      <c r="H35">
        <v>1000</v>
      </c>
      <c r="I35">
        <v>1</v>
      </c>
      <c r="J35">
        <v>71</v>
      </c>
      <c r="K35" t="s">
        <v>18</v>
      </c>
      <c r="L35">
        <v>923</v>
      </c>
      <c r="M35">
        <f t="shared" si="0"/>
        <v>92.300000000000011</v>
      </c>
      <c r="N35">
        <f t="shared" si="1"/>
        <v>1015.3</v>
      </c>
      <c r="O35">
        <f t="shared" si="2"/>
        <v>182.75399999999999</v>
      </c>
      <c r="P35">
        <f t="shared" si="3"/>
        <v>1198.0539999999999</v>
      </c>
    </row>
    <row r="36" spans="1:16" x14ac:dyDescent="0.3">
      <c r="A36">
        <v>35</v>
      </c>
      <c r="B36" t="s">
        <v>38</v>
      </c>
      <c r="C36" s="1">
        <v>13090321445140</v>
      </c>
      <c r="D36" t="s">
        <v>40</v>
      </c>
      <c r="E36">
        <v>560060</v>
      </c>
      <c r="F36">
        <v>570017</v>
      </c>
      <c r="G36">
        <v>4440</v>
      </c>
      <c r="H36">
        <v>10000</v>
      </c>
      <c r="I36">
        <v>7</v>
      </c>
      <c r="J36">
        <v>7</v>
      </c>
      <c r="K36" t="s">
        <v>18</v>
      </c>
      <c r="L36">
        <v>450</v>
      </c>
      <c r="M36">
        <f t="shared" si="0"/>
        <v>45</v>
      </c>
      <c r="N36">
        <f t="shared" si="1"/>
        <v>495</v>
      </c>
      <c r="O36">
        <f t="shared" si="2"/>
        <v>89.1</v>
      </c>
      <c r="P36">
        <f t="shared" si="3"/>
        <v>584.1</v>
      </c>
    </row>
    <row r="37" spans="1:16" x14ac:dyDescent="0.3">
      <c r="A37">
        <v>36</v>
      </c>
      <c r="B37" t="s">
        <v>38</v>
      </c>
      <c r="C37" s="1">
        <v>295269906</v>
      </c>
      <c r="D37" t="s">
        <v>41</v>
      </c>
      <c r="E37">
        <v>201305</v>
      </c>
      <c r="F37">
        <v>263639</v>
      </c>
      <c r="G37">
        <v>641</v>
      </c>
      <c r="H37">
        <v>36750</v>
      </c>
      <c r="I37">
        <v>2</v>
      </c>
      <c r="J37">
        <v>30</v>
      </c>
      <c r="K37" t="s">
        <v>18</v>
      </c>
      <c r="L37">
        <v>450</v>
      </c>
      <c r="M37">
        <f t="shared" si="0"/>
        <v>45</v>
      </c>
      <c r="N37">
        <f t="shared" si="1"/>
        <v>495</v>
      </c>
      <c r="O37">
        <f t="shared" si="2"/>
        <v>89.1</v>
      </c>
      <c r="P37">
        <f t="shared" si="3"/>
        <v>584.1</v>
      </c>
    </row>
    <row r="38" spans="1:16" x14ac:dyDescent="0.3">
      <c r="A38">
        <v>37</v>
      </c>
      <c r="B38" t="s">
        <v>38</v>
      </c>
      <c r="C38" s="1">
        <v>13090321446595</v>
      </c>
      <c r="D38" t="s">
        <v>31</v>
      </c>
      <c r="E38">
        <v>641108</v>
      </c>
      <c r="F38">
        <v>600095</v>
      </c>
      <c r="G38">
        <v>4441</v>
      </c>
      <c r="H38">
        <v>10000</v>
      </c>
      <c r="I38">
        <v>1</v>
      </c>
      <c r="J38">
        <v>11</v>
      </c>
      <c r="K38" t="s">
        <v>18</v>
      </c>
      <c r="L38">
        <v>450</v>
      </c>
      <c r="M38">
        <f t="shared" si="0"/>
        <v>45</v>
      </c>
      <c r="N38">
        <f t="shared" si="1"/>
        <v>495</v>
      </c>
      <c r="O38">
        <f t="shared" si="2"/>
        <v>89.1</v>
      </c>
      <c r="P38">
        <f t="shared" si="3"/>
        <v>584.1</v>
      </c>
    </row>
    <row r="39" spans="1:16" x14ac:dyDescent="0.3">
      <c r="A39">
        <v>38</v>
      </c>
      <c r="B39" t="s">
        <v>38</v>
      </c>
      <c r="C39" s="1">
        <v>295163752</v>
      </c>
      <c r="D39" t="s">
        <v>25</v>
      </c>
      <c r="E39">
        <v>574201</v>
      </c>
      <c r="F39">
        <v>560060</v>
      </c>
      <c r="G39">
        <v>4442</v>
      </c>
      <c r="H39">
        <v>10000</v>
      </c>
      <c r="I39">
        <v>2</v>
      </c>
      <c r="J39">
        <v>30</v>
      </c>
      <c r="K39" t="s">
        <v>18</v>
      </c>
      <c r="L39">
        <v>450</v>
      </c>
      <c r="M39">
        <f t="shared" si="0"/>
        <v>45</v>
      </c>
      <c r="N39">
        <f t="shared" si="1"/>
        <v>495</v>
      </c>
      <c r="O39">
        <f t="shared" si="2"/>
        <v>89.1</v>
      </c>
      <c r="P39">
        <f t="shared" si="3"/>
        <v>584.1</v>
      </c>
    </row>
    <row r="40" spans="1:16" x14ac:dyDescent="0.3">
      <c r="A40">
        <v>39</v>
      </c>
      <c r="B40" t="s">
        <v>38</v>
      </c>
      <c r="C40" s="1">
        <v>13090321447170</v>
      </c>
      <c r="D40" t="s">
        <v>19</v>
      </c>
      <c r="E40">
        <v>560060</v>
      </c>
      <c r="F40">
        <v>574214</v>
      </c>
      <c r="G40">
        <v>4443</v>
      </c>
      <c r="H40">
        <v>10000</v>
      </c>
      <c r="I40">
        <v>1</v>
      </c>
      <c r="J40">
        <v>7</v>
      </c>
      <c r="K40" t="s">
        <v>18</v>
      </c>
      <c r="L40">
        <v>450</v>
      </c>
      <c r="M40">
        <f t="shared" si="0"/>
        <v>45</v>
      </c>
      <c r="N40">
        <f t="shared" si="1"/>
        <v>495</v>
      </c>
      <c r="O40">
        <f t="shared" si="2"/>
        <v>89.1</v>
      </c>
      <c r="P40">
        <f t="shared" si="3"/>
        <v>584.1</v>
      </c>
    </row>
    <row r="41" spans="1:16" x14ac:dyDescent="0.3">
      <c r="A41">
        <v>40</v>
      </c>
      <c r="B41" t="s">
        <v>38</v>
      </c>
      <c r="C41" s="1">
        <v>13090321447892</v>
      </c>
      <c r="D41" t="s">
        <v>19</v>
      </c>
      <c r="E41">
        <v>560060</v>
      </c>
      <c r="F41">
        <v>575006</v>
      </c>
      <c r="G41">
        <v>4445</v>
      </c>
      <c r="H41">
        <v>10000</v>
      </c>
      <c r="I41">
        <v>1</v>
      </c>
      <c r="J41">
        <v>7</v>
      </c>
      <c r="K41" t="s">
        <v>18</v>
      </c>
      <c r="L41">
        <v>450</v>
      </c>
      <c r="M41">
        <f t="shared" si="0"/>
        <v>45</v>
      </c>
      <c r="N41">
        <f t="shared" si="1"/>
        <v>495</v>
      </c>
      <c r="O41">
        <f t="shared" si="2"/>
        <v>89.1</v>
      </c>
      <c r="P41">
        <f t="shared" si="3"/>
        <v>584.1</v>
      </c>
    </row>
    <row r="42" spans="1:16" x14ac:dyDescent="0.3">
      <c r="A42">
        <v>41</v>
      </c>
      <c r="B42" t="s">
        <v>38</v>
      </c>
      <c r="C42" s="1">
        <v>295165812</v>
      </c>
      <c r="D42" t="s">
        <v>42</v>
      </c>
      <c r="E42">
        <v>560060</v>
      </c>
      <c r="F42">
        <v>690544</v>
      </c>
      <c r="G42">
        <v>4444</v>
      </c>
      <c r="H42">
        <v>10000</v>
      </c>
      <c r="I42">
        <v>1</v>
      </c>
      <c r="J42">
        <v>47</v>
      </c>
      <c r="K42" t="s">
        <v>21</v>
      </c>
      <c r="L42">
        <v>1352</v>
      </c>
      <c r="M42">
        <f t="shared" si="0"/>
        <v>135.20000000000002</v>
      </c>
      <c r="N42">
        <f t="shared" si="1"/>
        <v>1487.2</v>
      </c>
      <c r="O42">
        <f t="shared" si="2"/>
        <v>267.69600000000003</v>
      </c>
      <c r="P42">
        <f t="shared" si="3"/>
        <v>1754.8960000000002</v>
      </c>
    </row>
    <row r="43" spans="1:16" x14ac:dyDescent="0.3">
      <c r="A43">
        <v>42</v>
      </c>
      <c r="B43" t="s">
        <v>38</v>
      </c>
      <c r="C43" s="1">
        <v>295175097</v>
      </c>
      <c r="D43" t="s">
        <v>43</v>
      </c>
      <c r="E43">
        <v>560060</v>
      </c>
      <c r="F43">
        <v>636111</v>
      </c>
      <c r="G43">
        <v>4446</v>
      </c>
      <c r="H43">
        <v>10000</v>
      </c>
      <c r="I43">
        <v>1</v>
      </c>
      <c r="J43">
        <v>124</v>
      </c>
      <c r="K43" t="s">
        <v>18</v>
      </c>
      <c r="L43">
        <v>1736</v>
      </c>
      <c r="M43">
        <f t="shared" si="0"/>
        <v>173.60000000000002</v>
      </c>
      <c r="N43">
        <f t="shared" si="1"/>
        <v>1909.6</v>
      </c>
      <c r="O43">
        <f t="shared" si="2"/>
        <v>343.72799999999995</v>
      </c>
      <c r="P43">
        <f t="shared" si="3"/>
        <v>2253.328</v>
      </c>
    </row>
    <row r="44" spans="1:16" x14ac:dyDescent="0.3">
      <c r="A44">
        <v>43</v>
      </c>
      <c r="B44" t="s">
        <v>38</v>
      </c>
      <c r="C44" s="1">
        <v>295178082</v>
      </c>
      <c r="D44" t="s">
        <v>23</v>
      </c>
      <c r="E44">
        <v>425422</v>
      </c>
      <c r="F44">
        <v>411045</v>
      </c>
      <c r="G44">
        <v>4447</v>
      </c>
      <c r="H44">
        <v>10000</v>
      </c>
      <c r="I44">
        <v>1</v>
      </c>
      <c r="J44">
        <v>62</v>
      </c>
      <c r="K44" t="s">
        <v>18</v>
      </c>
      <c r="L44">
        <v>620</v>
      </c>
      <c r="M44">
        <f t="shared" si="0"/>
        <v>62</v>
      </c>
      <c r="N44">
        <f t="shared" si="1"/>
        <v>682</v>
      </c>
      <c r="O44">
        <f t="shared" si="2"/>
        <v>122.75999999999999</v>
      </c>
      <c r="P44">
        <f t="shared" si="3"/>
        <v>804.76</v>
      </c>
    </row>
    <row r="45" spans="1:16" x14ac:dyDescent="0.3">
      <c r="A45">
        <v>44</v>
      </c>
      <c r="B45" t="s">
        <v>38</v>
      </c>
      <c r="C45" s="1">
        <v>295175892</v>
      </c>
      <c r="D45" t="s">
        <v>44</v>
      </c>
      <c r="E45">
        <v>411045</v>
      </c>
      <c r="F45">
        <v>670673</v>
      </c>
      <c r="G45">
        <v>1433</v>
      </c>
      <c r="H45">
        <v>10000</v>
      </c>
      <c r="I45">
        <v>1</v>
      </c>
      <c r="J45">
        <v>7</v>
      </c>
      <c r="K45" t="s">
        <v>18</v>
      </c>
      <c r="L45">
        <v>450</v>
      </c>
      <c r="M45">
        <f t="shared" si="0"/>
        <v>45</v>
      </c>
      <c r="N45">
        <f t="shared" si="1"/>
        <v>495</v>
      </c>
      <c r="O45">
        <f t="shared" si="2"/>
        <v>89.1</v>
      </c>
      <c r="P45">
        <f t="shared" si="3"/>
        <v>584.1</v>
      </c>
    </row>
    <row r="46" spans="1:16" x14ac:dyDescent="0.3">
      <c r="A46">
        <v>45</v>
      </c>
      <c r="B46" t="s">
        <v>38</v>
      </c>
      <c r="C46" s="1">
        <v>295202748</v>
      </c>
      <c r="D46" t="s">
        <v>27</v>
      </c>
      <c r="E46">
        <v>248001</v>
      </c>
      <c r="F46">
        <v>201305</v>
      </c>
      <c r="G46">
        <v>4449</v>
      </c>
      <c r="H46">
        <v>1000</v>
      </c>
      <c r="I46">
        <v>1</v>
      </c>
      <c r="J46">
        <v>7</v>
      </c>
      <c r="K46" t="s">
        <v>18</v>
      </c>
      <c r="L46">
        <v>450</v>
      </c>
      <c r="M46">
        <f t="shared" si="0"/>
        <v>45</v>
      </c>
      <c r="N46">
        <f t="shared" si="1"/>
        <v>495</v>
      </c>
      <c r="O46">
        <f t="shared" si="2"/>
        <v>89.1</v>
      </c>
      <c r="P46">
        <f t="shared" si="3"/>
        <v>584.1</v>
      </c>
    </row>
    <row r="47" spans="1:16" x14ac:dyDescent="0.3">
      <c r="A47">
        <v>46</v>
      </c>
      <c r="B47" t="s">
        <v>45</v>
      </c>
      <c r="C47" s="1">
        <v>295247717</v>
      </c>
      <c r="D47" t="s">
        <v>27</v>
      </c>
      <c r="E47">
        <v>852201</v>
      </c>
      <c r="F47">
        <v>201305</v>
      </c>
      <c r="G47">
        <v>4450</v>
      </c>
      <c r="H47">
        <v>10000</v>
      </c>
      <c r="I47">
        <v>1</v>
      </c>
      <c r="J47">
        <v>50</v>
      </c>
      <c r="K47" t="s">
        <v>18</v>
      </c>
      <c r="L47">
        <v>650</v>
      </c>
      <c r="M47">
        <f t="shared" si="0"/>
        <v>65</v>
      </c>
      <c r="N47">
        <f t="shared" si="1"/>
        <v>715</v>
      </c>
      <c r="O47">
        <f t="shared" si="2"/>
        <v>128.69999999999999</v>
      </c>
      <c r="P47">
        <f t="shared" si="3"/>
        <v>843.7</v>
      </c>
    </row>
    <row r="48" spans="1:16" x14ac:dyDescent="0.3">
      <c r="A48">
        <v>47</v>
      </c>
      <c r="B48" t="s">
        <v>45</v>
      </c>
      <c r="C48" s="1">
        <v>295204130</v>
      </c>
      <c r="D48" t="s">
        <v>26</v>
      </c>
      <c r="E48">
        <v>670595</v>
      </c>
      <c r="F48">
        <v>411045</v>
      </c>
      <c r="G48">
        <v>4451</v>
      </c>
      <c r="H48">
        <v>10000</v>
      </c>
      <c r="I48">
        <v>1</v>
      </c>
      <c r="J48">
        <v>14</v>
      </c>
      <c r="K48" t="s">
        <v>18</v>
      </c>
      <c r="L48">
        <v>450</v>
      </c>
      <c r="M48">
        <f t="shared" si="0"/>
        <v>45</v>
      </c>
      <c r="N48">
        <f t="shared" si="1"/>
        <v>495</v>
      </c>
      <c r="O48">
        <f t="shared" si="2"/>
        <v>89.1</v>
      </c>
      <c r="P48">
        <f t="shared" si="3"/>
        <v>584.1</v>
      </c>
    </row>
    <row r="49" spans="1:16" x14ac:dyDescent="0.3">
      <c r="A49">
        <v>48</v>
      </c>
      <c r="B49" t="s">
        <v>45</v>
      </c>
      <c r="C49" s="1">
        <v>295204563</v>
      </c>
      <c r="D49" t="s">
        <v>25</v>
      </c>
      <c r="E49">
        <v>689547</v>
      </c>
      <c r="F49">
        <v>560060</v>
      </c>
      <c r="G49">
        <v>4452</v>
      </c>
      <c r="H49">
        <v>10000</v>
      </c>
      <c r="I49">
        <v>1</v>
      </c>
      <c r="J49">
        <v>18</v>
      </c>
      <c r="K49" t="s">
        <v>18</v>
      </c>
      <c r="L49">
        <v>450</v>
      </c>
      <c r="M49">
        <f t="shared" si="0"/>
        <v>45</v>
      </c>
      <c r="N49">
        <f t="shared" si="1"/>
        <v>495</v>
      </c>
      <c r="O49">
        <f t="shared" si="2"/>
        <v>89.1</v>
      </c>
      <c r="P49">
        <f t="shared" si="3"/>
        <v>584.1</v>
      </c>
    </row>
    <row r="50" spans="1:16" x14ac:dyDescent="0.3">
      <c r="A50">
        <v>49</v>
      </c>
      <c r="B50" t="s">
        <v>45</v>
      </c>
      <c r="C50" s="1">
        <v>288631176</v>
      </c>
      <c r="D50" t="s">
        <v>25</v>
      </c>
      <c r="E50">
        <v>670002</v>
      </c>
      <c r="F50">
        <v>560060</v>
      </c>
      <c r="G50">
        <v>4453</v>
      </c>
      <c r="H50">
        <v>10000</v>
      </c>
      <c r="I50">
        <v>1</v>
      </c>
      <c r="J50">
        <v>7</v>
      </c>
      <c r="K50" t="s">
        <v>18</v>
      </c>
      <c r="L50">
        <v>450</v>
      </c>
      <c r="M50">
        <f t="shared" si="0"/>
        <v>45</v>
      </c>
      <c r="N50">
        <f t="shared" si="1"/>
        <v>495</v>
      </c>
      <c r="O50">
        <f t="shared" si="2"/>
        <v>89.1</v>
      </c>
      <c r="P50">
        <f t="shared" si="3"/>
        <v>584.1</v>
      </c>
    </row>
    <row r="51" spans="1:16" x14ac:dyDescent="0.3">
      <c r="A51">
        <v>50</v>
      </c>
      <c r="B51" t="s">
        <v>45</v>
      </c>
      <c r="C51" s="1">
        <v>295205887</v>
      </c>
      <c r="D51" t="s">
        <v>25</v>
      </c>
      <c r="E51">
        <v>686691</v>
      </c>
      <c r="F51">
        <v>560060</v>
      </c>
      <c r="G51">
        <v>4454</v>
      </c>
      <c r="H51">
        <v>10000</v>
      </c>
      <c r="I51">
        <v>3</v>
      </c>
      <c r="J51">
        <v>55</v>
      </c>
      <c r="K51" t="s">
        <v>18</v>
      </c>
      <c r="L51">
        <v>715</v>
      </c>
      <c r="M51">
        <f t="shared" si="0"/>
        <v>71.5</v>
      </c>
      <c r="N51">
        <f t="shared" si="1"/>
        <v>786.5</v>
      </c>
      <c r="O51">
        <f t="shared" si="2"/>
        <v>141.57</v>
      </c>
      <c r="P51">
        <f t="shared" si="3"/>
        <v>928.06999999999994</v>
      </c>
    </row>
    <row r="52" spans="1:16" x14ac:dyDescent="0.3">
      <c r="A52">
        <v>51</v>
      </c>
      <c r="B52" t="s">
        <v>45</v>
      </c>
      <c r="C52" s="1">
        <v>295206281</v>
      </c>
      <c r="D52" t="s">
        <v>25</v>
      </c>
      <c r="E52">
        <v>688529</v>
      </c>
      <c r="F52">
        <v>560060</v>
      </c>
      <c r="G52">
        <v>4456</v>
      </c>
      <c r="H52">
        <v>10000</v>
      </c>
      <c r="I52">
        <v>1</v>
      </c>
      <c r="J52">
        <v>20</v>
      </c>
      <c r="K52" t="s">
        <v>18</v>
      </c>
      <c r="L52">
        <v>450</v>
      </c>
      <c r="M52">
        <f t="shared" si="0"/>
        <v>45</v>
      </c>
      <c r="N52">
        <f t="shared" si="1"/>
        <v>495</v>
      </c>
      <c r="O52">
        <f t="shared" si="2"/>
        <v>89.1</v>
      </c>
      <c r="P52">
        <f t="shared" si="3"/>
        <v>584.1</v>
      </c>
    </row>
    <row r="53" spans="1:16" x14ac:dyDescent="0.3">
      <c r="A53">
        <v>52</v>
      </c>
      <c r="B53" t="s">
        <v>45</v>
      </c>
      <c r="C53" s="1">
        <v>295206627</v>
      </c>
      <c r="D53" t="s">
        <v>46</v>
      </c>
      <c r="E53">
        <v>560060</v>
      </c>
      <c r="F53">
        <v>571105</v>
      </c>
      <c r="G53">
        <v>4457</v>
      </c>
      <c r="H53">
        <v>10000</v>
      </c>
      <c r="I53">
        <v>1</v>
      </c>
      <c r="J53">
        <v>40</v>
      </c>
      <c r="K53" t="s">
        <v>18</v>
      </c>
      <c r="L53">
        <v>560</v>
      </c>
      <c r="M53">
        <f t="shared" si="0"/>
        <v>56</v>
      </c>
      <c r="N53">
        <f t="shared" si="1"/>
        <v>616</v>
      </c>
      <c r="O53">
        <f t="shared" si="2"/>
        <v>110.88</v>
      </c>
      <c r="P53">
        <f t="shared" si="3"/>
        <v>726.88</v>
      </c>
    </row>
    <row r="54" spans="1:16" x14ac:dyDescent="0.3">
      <c r="A54">
        <v>53</v>
      </c>
      <c r="B54" t="s">
        <v>45</v>
      </c>
      <c r="C54" s="1">
        <v>39488810698585</v>
      </c>
      <c r="D54" t="s">
        <v>25</v>
      </c>
      <c r="E54">
        <v>683503</v>
      </c>
      <c r="F54">
        <v>560060</v>
      </c>
      <c r="G54">
        <v>4455</v>
      </c>
      <c r="H54">
        <v>10000</v>
      </c>
      <c r="I54">
        <v>1</v>
      </c>
      <c r="J54">
        <v>10</v>
      </c>
      <c r="K54" t="s">
        <v>18</v>
      </c>
      <c r="L54">
        <v>450</v>
      </c>
      <c r="M54">
        <f t="shared" si="0"/>
        <v>45</v>
      </c>
      <c r="N54">
        <f t="shared" si="1"/>
        <v>495</v>
      </c>
      <c r="O54">
        <f t="shared" si="2"/>
        <v>89.1</v>
      </c>
      <c r="P54">
        <f t="shared" si="3"/>
        <v>584.1</v>
      </c>
    </row>
    <row r="55" spans="1:16" x14ac:dyDescent="0.3">
      <c r="A55">
        <v>54</v>
      </c>
      <c r="B55" t="s">
        <v>45</v>
      </c>
      <c r="C55" s="1">
        <v>13090321468214</v>
      </c>
      <c r="D55" t="s">
        <v>31</v>
      </c>
      <c r="E55">
        <v>641601</v>
      </c>
      <c r="F55">
        <v>600095</v>
      </c>
      <c r="G55">
        <v>4460</v>
      </c>
      <c r="H55">
        <v>10000</v>
      </c>
      <c r="I55">
        <v>1</v>
      </c>
      <c r="J55">
        <v>7</v>
      </c>
      <c r="K55" t="s">
        <v>18</v>
      </c>
      <c r="L55">
        <v>450</v>
      </c>
      <c r="M55">
        <f t="shared" si="0"/>
        <v>45</v>
      </c>
      <c r="N55">
        <f t="shared" si="1"/>
        <v>495</v>
      </c>
      <c r="O55">
        <f t="shared" si="2"/>
        <v>89.1</v>
      </c>
      <c r="P55">
        <f t="shared" si="3"/>
        <v>584.1</v>
      </c>
    </row>
    <row r="56" spans="1:16" x14ac:dyDescent="0.3">
      <c r="A56">
        <v>55</v>
      </c>
      <c r="B56" t="s">
        <v>45</v>
      </c>
      <c r="C56" s="1">
        <v>295212431</v>
      </c>
      <c r="D56" t="s">
        <v>47</v>
      </c>
      <c r="E56">
        <v>560060</v>
      </c>
      <c r="F56">
        <v>411045</v>
      </c>
      <c r="G56">
        <v>4462</v>
      </c>
      <c r="H56">
        <v>10000</v>
      </c>
      <c r="I56">
        <v>1</v>
      </c>
      <c r="J56">
        <v>25</v>
      </c>
      <c r="K56" t="s">
        <v>18</v>
      </c>
      <c r="L56">
        <v>450</v>
      </c>
      <c r="M56">
        <f t="shared" si="0"/>
        <v>45</v>
      </c>
      <c r="N56">
        <f t="shared" si="1"/>
        <v>495</v>
      </c>
      <c r="O56">
        <f t="shared" si="2"/>
        <v>89.1</v>
      </c>
      <c r="P56">
        <f t="shared" si="3"/>
        <v>584.1</v>
      </c>
    </row>
    <row r="57" spans="1:16" x14ac:dyDescent="0.3">
      <c r="A57">
        <v>56</v>
      </c>
      <c r="B57" t="s">
        <v>45</v>
      </c>
      <c r="C57" s="1">
        <v>295212883</v>
      </c>
      <c r="D57" t="s">
        <v>48</v>
      </c>
      <c r="E57">
        <v>560060</v>
      </c>
      <c r="F57">
        <v>682024</v>
      </c>
      <c r="G57">
        <v>4463</v>
      </c>
      <c r="H57">
        <v>10000</v>
      </c>
      <c r="I57">
        <v>1</v>
      </c>
      <c r="J57">
        <v>14</v>
      </c>
      <c r="K57" t="s">
        <v>18</v>
      </c>
      <c r="L57">
        <v>450</v>
      </c>
      <c r="M57">
        <f t="shared" si="0"/>
        <v>45</v>
      </c>
      <c r="N57">
        <f t="shared" si="1"/>
        <v>495</v>
      </c>
      <c r="O57">
        <f t="shared" si="2"/>
        <v>89.1</v>
      </c>
      <c r="P57">
        <f t="shared" si="3"/>
        <v>584.1</v>
      </c>
    </row>
    <row r="58" spans="1:16" x14ac:dyDescent="0.3">
      <c r="A58">
        <v>57</v>
      </c>
      <c r="B58" t="s">
        <v>45</v>
      </c>
      <c r="C58" s="1">
        <v>295214424</v>
      </c>
      <c r="D58" t="s">
        <v>25</v>
      </c>
      <c r="E58">
        <v>682507</v>
      </c>
      <c r="F58">
        <v>560060</v>
      </c>
      <c r="G58">
        <v>4464</v>
      </c>
      <c r="H58">
        <v>10000</v>
      </c>
      <c r="I58">
        <v>1</v>
      </c>
      <c r="J58">
        <v>20</v>
      </c>
      <c r="K58" t="s">
        <v>18</v>
      </c>
      <c r="L58">
        <v>450</v>
      </c>
      <c r="M58">
        <f t="shared" si="0"/>
        <v>45</v>
      </c>
      <c r="N58">
        <f t="shared" si="1"/>
        <v>495</v>
      </c>
      <c r="O58">
        <f t="shared" si="2"/>
        <v>89.1</v>
      </c>
      <c r="P58">
        <f t="shared" si="3"/>
        <v>584.1</v>
      </c>
    </row>
    <row r="59" spans="1:16" x14ac:dyDescent="0.3">
      <c r="A59">
        <v>58</v>
      </c>
      <c r="B59" t="s">
        <v>45</v>
      </c>
      <c r="C59" s="1">
        <v>295214787</v>
      </c>
      <c r="D59" t="s">
        <v>25</v>
      </c>
      <c r="E59">
        <v>683503</v>
      </c>
      <c r="F59">
        <v>560060</v>
      </c>
      <c r="G59">
        <v>4465</v>
      </c>
      <c r="H59">
        <v>10000</v>
      </c>
      <c r="I59">
        <v>1</v>
      </c>
      <c r="J59">
        <v>18</v>
      </c>
      <c r="K59" t="s">
        <v>18</v>
      </c>
      <c r="L59">
        <v>450</v>
      </c>
      <c r="M59">
        <f t="shared" si="0"/>
        <v>45</v>
      </c>
      <c r="N59">
        <f t="shared" si="1"/>
        <v>495</v>
      </c>
      <c r="O59">
        <f t="shared" si="2"/>
        <v>89.1</v>
      </c>
      <c r="P59">
        <f t="shared" si="3"/>
        <v>584.1</v>
      </c>
    </row>
    <row r="60" spans="1:16" x14ac:dyDescent="0.3">
      <c r="A60">
        <v>59</v>
      </c>
      <c r="B60" t="s">
        <v>45</v>
      </c>
      <c r="C60" s="1">
        <v>295216033</v>
      </c>
      <c r="D60" t="s">
        <v>25</v>
      </c>
      <c r="E60">
        <v>690544</v>
      </c>
      <c r="F60">
        <v>560060</v>
      </c>
      <c r="G60">
        <v>4466</v>
      </c>
      <c r="H60">
        <v>10000</v>
      </c>
      <c r="I60">
        <v>1</v>
      </c>
      <c r="J60">
        <v>7</v>
      </c>
      <c r="K60" t="s">
        <v>18</v>
      </c>
      <c r="L60">
        <v>450</v>
      </c>
      <c r="M60">
        <f t="shared" si="0"/>
        <v>45</v>
      </c>
      <c r="N60">
        <f t="shared" si="1"/>
        <v>495</v>
      </c>
      <c r="O60">
        <f t="shared" si="2"/>
        <v>89.1</v>
      </c>
      <c r="P60">
        <f t="shared" si="3"/>
        <v>584.1</v>
      </c>
    </row>
    <row r="61" spans="1:16" x14ac:dyDescent="0.3">
      <c r="A61">
        <v>60</v>
      </c>
      <c r="B61" t="s">
        <v>45</v>
      </c>
      <c r="C61" s="1">
        <v>295217923</v>
      </c>
      <c r="D61" t="s">
        <v>25</v>
      </c>
      <c r="E61">
        <v>571105</v>
      </c>
      <c r="F61">
        <v>560060</v>
      </c>
      <c r="G61">
        <v>4467</v>
      </c>
      <c r="H61">
        <v>10000</v>
      </c>
      <c r="I61">
        <v>1</v>
      </c>
      <c r="J61">
        <v>18</v>
      </c>
      <c r="K61" t="s">
        <v>18</v>
      </c>
      <c r="L61">
        <v>450</v>
      </c>
      <c r="M61">
        <f t="shared" si="0"/>
        <v>45</v>
      </c>
      <c r="N61">
        <f t="shared" si="1"/>
        <v>495</v>
      </c>
      <c r="O61">
        <f t="shared" si="2"/>
        <v>89.1</v>
      </c>
      <c r="P61">
        <f t="shared" si="3"/>
        <v>584.1</v>
      </c>
    </row>
    <row r="62" spans="1:16" x14ac:dyDescent="0.3">
      <c r="A62">
        <v>61</v>
      </c>
      <c r="B62" t="s">
        <v>45</v>
      </c>
      <c r="C62" s="1">
        <v>295218703</v>
      </c>
      <c r="D62" t="s">
        <v>25</v>
      </c>
      <c r="E62">
        <v>691509</v>
      </c>
      <c r="F62">
        <v>560060</v>
      </c>
      <c r="G62">
        <v>4468</v>
      </c>
      <c r="H62">
        <v>10000</v>
      </c>
      <c r="I62">
        <v>1</v>
      </c>
      <c r="J62">
        <v>38</v>
      </c>
      <c r="K62" t="s">
        <v>18</v>
      </c>
      <c r="L62">
        <v>494</v>
      </c>
      <c r="M62">
        <f t="shared" si="0"/>
        <v>49.400000000000006</v>
      </c>
      <c r="N62">
        <f t="shared" si="1"/>
        <v>543.4</v>
      </c>
      <c r="O62">
        <f t="shared" si="2"/>
        <v>97.811999999999998</v>
      </c>
      <c r="P62">
        <f t="shared" si="3"/>
        <v>641.21199999999999</v>
      </c>
    </row>
    <row r="63" spans="1:16" x14ac:dyDescent="0.3">
      <c r="A63">
        <v>62</v>
      </c>
      <c r="B63" t="s">
        <v>45</v>
      </c>
      <c r="C63" s="1">
        <v>295218891</v>
      </c>
      <c r="D63" t="s">
        <v>31</v>
      </c>
      <c r="E63">
        <v>560060</v>
      </c>
      <c r="F63">
        <v>600095</v>
      </c>
      <c r="G63">
        <v>4469</v>
      </c>
      <c r="H63">
        <v>10000</v>
      </c>
      <c r="I63">
        <v>1</v>
      </c>
      <c r="J63">
        <v>20</v>
      </c>
      <c r="K63" t="s">
        <v>18</v>
      </c>
      <c r="L63">
        <v>450</v>
      </c>
      <c r="M63">
        <f t="shared" si="0"/>
        <v>45</v>
      </c>
      <c r="N63">
        <f t="shared" si="1"/>
        <v>495</v>
      </c>
      <c r="O63">
        <f t="shared" si="2"/>
        <v>89.1</v>
      </c>
      <c r="P63">
        <f t="shared" si="3"/>
        <v>584.1</v>
      </c>
    </row>
    <row r="64" spans="1:16" x14ac:dyDescent="0.3">
      <c r="A64">
        <v>63</v>
      </c>
      <c r="B64" t="s">
        <v>45</v>
      </c>
      <c r="C64" s="1">
        <v>295219225</v>
      </c>
      <c r="D64" t="s">
        <v>22</v>
      </c>
      <c r="E64">
        <v>560060</v>
      </c>
      <c r="F64">
        <v>686691</v>
      </c>
      <c r="G64">
        <v>4470</v>
      </c>
      <c r="H64">
        <v>10000</v>
      </c>
      <c r="I64">
        <v>1</v>
      </c>
      <c r="J64">
        <v>45</v>
      </c>
      <c r="K64" t="s">
        <v>21</v>
      </c>
      <c r="L64">
        <v>1320</v>
      </c>
      <c r="M64">
        <f t="shared" si="0"/>
        <v>132</v>
      </c>
      <c r="N64">
        <f t="shared" si="1"/>
        <v>1452</v>
      </c>
      <c r="O64">
        <f t="shared" si="2"/>
        <v>261.36</v>
      </c>
      <c r="P64">
        <f t="shared" si="3"/>
        <v>1713.3600000000001</v>
      </c>
    </row>
    <row r="65" spans="1:16" x14ac:dyDescent="0.3">
      <c r="A65">
        <v>64</v>
      </c>
      <c r="B65" t="s">
        <v>45</v>
      </c>
      <c r="C65" s="1">
        <v>295216485</v>
      </c>
      <c r="D65" t="s">
        <v>49</v>
      </c>
      <c r="E65">
        <v>201305</v>
      </c>
      <c r="F65">
        <v>281121</v>
      </c>
      <c r="G65">
        <v>658</v>
      </c>
      <c r="H65">
        <v>44000</v>
      </c>
      <c r="I65">
        <v>1</v>
      </c>
      <c r="J65">
        <v>96</v>
      </c>
      <c r="K65" t="s">
        <v>18</v>
      </c>
      <c r="L65">
        <v>1248</v>
      </c>
      <c r="M65">
        <f t="shared" si="0"/>
        <v>124.80000000000001</v>
      </c>
      <c r="N65">
        <f t="shared" si="1"/>
        <v>1372.8</v>
      </c>
      <c r="O65">
        <f t="shared" si="2"/>
        <v>247.10399999999998</v>
      </c>
      <c r="P65">
        <f t="shared" si="3"/>
        <v>1619.904</v>
      </c>
    </row>
    <row r="66" spans="1:16" x14ac:dyDescent="0.3">
      <c r="A66">
        <v>65</v>
      </c>
      <c r="B66" t="s">
        <v>45</v>
      </c>
      <c r="C66" s="1">
        <v>295217527</v>
      </c>
      <c r="D66" t="s">
        <v>25</v>
      </c>
      <c r="E66">
        <v>688529</v>
      </c>
      <c r="F66">
        <v>560060</v>
      </c>
      <c r="G66">
        <v>4471</v>
      </c>
      <c r="H66">
        <v>10000</v>
      </c>
      <c r="I66">
        <v>1</v>
      </c>
      <c r="J66">
        <v>46</v>
      </c>
      <c r="K66" t="s">
        <v>18</v>
      </c>
      <c r="L66">
        <v>598</v>
      </c>
      <c r="M66">
        <f t="shared" si="0"/>
        <v>59.800000000000004</v>
      </c>
      <c r="N66">
        <f t="shared" si="1"/>
        <v>657.8</v>
      </c>
      <c r="O66">
        <f t="shared" si="2"/>
        <v>118.40399999999998</v>
      </c>
      <c r="P66">
        <f t="shared" si="3"/>
        <v>776.20399999999995</v>
      </c>
    </row>
    <row r="67" spans="1:16" x14ac:dyDescent="0.3">
      <c r="A67">
        <v>66</v>
      </c>
      <c r="B67" t="s">
        <v>45</v>
      </c>
      <c r="C67" s="1">
        <v>295216888</v>
      </c>
      <c r="D67" t="s">
        <v>50</v>
      </c>
      <c r="E67">
        <v>201305</v>
      </c>
      <c r="F67">
        <v>190019</v>
      </c>
      <c r="G67">
        <v>636</v>
      </c>
      <c r="H67">
        <v>36750</v>
      </c>
      <c r="I67">
        <v>1</v>
      </c>
      <c r="J67">
        <v>35</v>
      </c>
      <c r="K67" t="s">
        <v>18</v>
      </c>
      <c r="L67">
        <v>598</v>
      </c>
      <c r="M67">
        <f t="shared" ref="M67:M75" si="4">L67*10%</f>
        <v>59.800000000000004</v>
      </c>
      <c r="N67">
        <f t="shared" ref="N67:N75" si="5">M67+L67</f>
        <v>657.8</v>
      </c>
      <c r="O67">
        <f t="shared" ref="O67:O75" si="6">N67*18%</f>
        <v>118.40399999999998</v>
      </c>
      <c r="P67">
        <f t="shared" ref="P67:P75" si="7">O67+N67</f>
        <v>776.20399999999995</v>
      </c>
    </row>
    <row r="68" spans="1:16" x14ac:dyDescent="0.3">
      <c r="A68">
        <v>67</v>
      </c>
      <c r="B68" t="s">
        <v>51</v>
      </c>
      <c r="C68" s="1">
        <v>295248558</v>
      </c>
      <c r="D68" t="s">
        <v>25</v>
      </c>
      <c r="E68">
        <v>676501</v>
      </c>
      <c r="F68">
        <v>560060</v>
      </c>
      <c r="G68">
        <v>4474</v>
      </c>
      <c r="H68">
        <v>10000</v>
      </c>
      <c r="I68">
        <v>1</v>
      </c>
      <c r="J68">
        <v>30</v>
      </c>
      <c r="K68" t="s">
        <v>18</v>
      </c>
      <c r="L68">
        <v>450</v>
      </c>
      <c r="M68">
        <f t="shared" si="4"/>
        <v>45</v>
      </c>
      <c r="N68">
        <f t="shared" si="5"/>
        <v>495</v>
      </c>
      <c r="O68">
        <f t="shared" si="6"/>
        <v>89.1</v>
      </c>
      <c r="P68">
        <f t="shared" si="7"/>
        <v>584.1</v>
      </c>
    </row>
    <row r="69" spans="1:16" x14ac:dyDescent="0.3">
      <c r="A69">
        <v>68</v>
      </c>
      <c r="B69" t="s">
        <v>51</v>
      </c>
      <c r="C69" s="1">
        <v>295251036</v>
      </c>
      <c r="D69" t="s">
        <v>25</v>
      </c>
      <c r="E69">
        <v>686575</v>
      </c>
      <c r="F69">
        <v>560060</v>
      </c>
      <c r="G69">
        <v>4473</v>
      </c>
      <c r="H69">
        <v>10000</v>
      </c>
      <c r="I69">
        <v>1</v>
      </c>
      <c r="J69">
        <v>7</v>
      </c>
      <c r="K69" t="s">
        <v>18</v>
      </c>
      <c r="L69">
        <v>450</v>
      </c>
      <c r="M69">
        <f t="shared" si="4"/>
        <v>45</v>
      </c>
      <c r="N69">
        <f t="shared" si="5"/>
        <v>495</v>
      </c>
      <c r="O69">
        <f t="shared" si="6"/>
        <v>89.1</v>
      </c>
      <c r="P69">
        <f t="shared" si="7"/>
        <v>584.1</v>
      </c>
    </row>
    <row r="70" spans="1:16" x14ac:dyDescent="0.3">
      <c r="A70">
        <v>69</v>
      </c>
      <c r="B70" t="s">
        <v>51</v>
      </c>
      <c r="C70" s="1">
        <v>295251970</v>
      </c>
      <c r="D70" t="s">
        <v>31</v>
      </c>
      <c r="E70">
        <v>638183</v>
      </c>
      <c r="F70">
        <v>600095</v>
      </c>
      <c r="G70">
        <v>4475</v>
      </c>
      <c r="H70">
        <v>10000</v>
      </c>
      <c r="I70">
        <v>2</v>
      </c>
      <c r="J70">
        <v>11</v>
      </c>
      <c r="K70" t="s">
        <v>18</v>
      </c>
      <c r="L70">
        <v>450</v>
      </c>
      <c r="M70">
        <f t="shared" si="4"/>
        <v>45</v>
      </c>
      <c r="N70">
        <f t="shared" si="5"/>
        <v>495</v>
      </c>
      <c r="O70">
        <f t="shared" si="6"/>
        <v>89.1</v>
      </c>
      <c r="P70">
        <f t="shared" si="7"/>
        <v>584.1</v>
      </c>
    </row>
    <row r="71" spans="1:16" x14ac:dyDescent="0.3">
      <c r="A71">
        <v>70</v>
      </c>
      <c r="B71" t="s">
        <v>51</v>
      </c>
      <c r="C71" s="1">
        <v>295300357</v>
      </c>
      <c r="D71" t="s">
        <v>27</v>
      </c>
      <c r="E71">
        <v>132103</v>
      </c>
      <c r="F71">
        <v>201305</v>
      </c>
      <c r="G71">
        <v>4476</v>
      </c>
      <c r="H71">
        <v>10000</v>
      </c>
      <c r="I71">
        <v>1</v>
      </c>
      <c r="J71">
        <v>68</v>
      </c>
      <c r="K71" t="s">
        <v>18</v>
      </c>
      <c r="L71">
        <v>884</v>
      </c>
      <c r="M71">
        <f t="shared" si="4"/>
        <v>88.4</v>
      </c>
      <c r="N71">
        <f t="shared" si="5"/>
        <v>972.4</v>
      </c>
      <c r="O71">
        <f t="shared" si="6"/>
        <v>175.03199999999998</v>
      </c>
      <c r="P71">
        <f t="shared" si="7"/>
        <v>1147.432</v>
      </c>
    </row>
    <row r="72" spans="1:16" x14ac:dyDescent="0.3">
      <c r="A72">
        <v>71</v>
      </c>
      <c r="B72" t="s">
        <v>51</v>
      </c>
      <c r="C72" s="1">
        <v>295253662</v>
      </c>
      <c r="D72" t="s">
        <v>52</v>
      </c>
      <c r="E72">
        <v>560060</v>
      </c>
      <c r="F72">
        <v>688001</v>
      </c>
      <c r="G72">
        <v>4478</v>
      </c>
      <c r="H72">
        <v>10000</v>
      </c>
      <c r="I72">
        <v>1</v>
      </c>
      <c r="J72">
        <v>11</v>
      </c>
      <c r="K72" t="s">
        <v>18</v>
      </c>
      <c r="L72">
        <v>450</v>
      </c>
      <c r="M72">
        <f t="shared" si="4"/>
        <v>45</v>
      </c>
      <c r="N72">
        <f t="shared" si="5"/>
        <v>495</v>
      </c>
      <c r="O72">
        <f t="shared" si="6"/>
        <v>89.1</v>
      </c>
      <c r="P72">
        <f t="shared" si="7"/>
        <v>584.1</v>
      </c>
    </row>
    <row r="73" spans="1:16" x14ac:dyDescent="0.3">
      <c r="A73">
        <v>72</v>
      </c>
      <c r="B73" t="s">
        <v>51</v>
      </c>
      <c r="C73" s="1">
        <v>295254567</v>
      </c>
      <c r="D73" t="s">
        <v>53</v>
      </c>
      <c r="E73">
        <v>560060</v>
      </c>
      <c r="F73">
        <v>630556</v>
      </c>
      <c r="G73">
        <v>4477</v>
      </c>
      <c r="H73">
        <v>10000</v>
      </c>
      <c r="I73">
        <v>1</v>
      </c>
      <c r="J73">
        <v>95</v>
      </c>
      <c r="K73" t="s">
        <v>18</v>
      </c>
      <c r="L73">
        <v>1330</v>
      </c>
      <c r="M73">
        <f t="shared" si="4"/>
        <v>133</v>
      </c>
      <c r="N73">
        <f t="shared" si="5"/>
        <v>1463</v>
      </c>
      <c r="O73">
        <f t="shared" si="6"/>
        <v>263.33999999999997</v>
      </c>
      <c r="P73">
        <f t="shared" si="7"/>
        <v>1726.34</v>
      </c>
    </row>
    <row r="74" spans="1:16" x14ac:dyDescent="0.3">
      <c r="A74">
        <v>73</v>
      </c>
      <c r="B74" t="s">
        <v>51</v>
      </c>
      <c r="C74" s="1">
        <v>13090321479753</v>
      </c>
      <c r="D74" t="s">
        <v>54</v>
      </c>
      <c r="E74">
        <v>560060</v>
      </c>
      <c r="F74">
        <v>500014</v>
      </c>
      <c r="G74">
        <v>4479</v>
      </c>
      <c r="H74">
        <v>10000</v>
      </c>
      <c r="I74">
        <v>1</v>
      </c>
      <c r="J74">
        <v>11</v>
      </c>
      <c r="K74" t="s">
        <v>18</v>
      </c>
      <c r="L74">
        <v>450</v>
      </c>
      <c r="M74">
        <f t="shared" si="4"/>
        <v>45</v>
      </c>
      <c r="N74">
        <f t="shared" si="5"/>
        <v>495</v>
      </c>
      <c r="O74">
        <f t="shared" si="6"/>
        <v>89.1</v>
      </c>
      <c r="P74">
        <f t="shared" si="7"/>
        <v>584.1</v>
      </c>
    </row>
    <row r="75" spans="1:16" x14ac:dyDescent="0.3">
      <c r="A75">
        <v>74</v>
      </c>
      <c r="B75" t="s">
        <v>51</v>
      </c>
      <c r="C75" s="1">
        <v>295255629</v>
      </c>
      <c r="D75" t="s">
        <v>25</v>
      </c>
      <c r="E75">
        <v>571105</v>
      </c>
      <c r="F75">
        <v>560060</v>
      </c>
      <c r="G75">
        <v>4480</v>
      </c>
      <c r="H75">
        <v>10000</v>
      </c>
      <c r="I75">
        <v>2</v>
      </c>
      <c r="J75">
        <v>50</v>
      </c>
      <c r="K75" t="s">
        <v>18</v>
      </c>
      <c r="L75">
        <v>650</v>
      </c>
      <c r="M75">
        <f t="shared" si="4"/>
        <v>65</v>
      </c>
      <c r="N75">
        <f t="shared" si="5"/>
        <v>715</v>
      </c>
      <c r="O75">
        <f t="shared" si="6"/>
        <v>128.69999999999999</v>
      </c>
      <c r="P75">
        <f t="shared" si="7"/>
        <v>843.7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Yashraj Bhoite</dc:creator>
  <cp:lastModifiedBy>Yashraj Bhoite</cp:lastModifiedBy>
  <dcterms:created xsi:type="dcterms:W3CDTF">2026-02-11T10:25:17Z</dcterms:created>
  <dcterms:modified xsi:type="dcterms:W3CDTF">2026-02-11T10:25:41Z</dcterms:modified>
</cp:coreProperties>
</file>